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PI\Downloads\"/>
    </mc:Choice>
  </mc:AlternateContent>
  <bookViews>
    <workbookView xWindow="0" yWindow="0" windowWidth="20490" windowHeight="8340" activeTab="1"/>
  </bookViews>
  <sheets>
    <sheet name="Instruction" sheetId="1" r:id="rId1"/>
    <sheet name="DailyAccomplishmentReport" sheetId="2" r:id="rId2"/>
    <sheet name="Attendance Report__First" sheetId="4" r:id="rId3"/>
    <sheet name="Attendance Report_Second" sheetId="3" r:id="rId4"/>
    <sheet name="Attendance Report - Manager" sheetId="5" state="hidden" r:id="rId5"/>
    <sheet name="Billing" sheetId="6" state="hidden" r:id="rId6"/>
    <sheet name="Ref" sheetId="7" state="hidden" r:id="rId7"/>
    <sheet name="Summary" sheetId="8" state="hidden" r:id="rId8"/>
  </sheets>
  <externalReferences>
    <externalReference r:id="rId9"/>
    <externalReference r:id="rId10"/>
  </externalReferences>
  <definedNames>
    <definedName name="activity" localSheetId="4">Ref!$N$3:$N$16</definedName>
    <definedName name="activity" localSheetId="2">Ref!$N$3:$N$16</definedName>
    <definedName name="activity" localSheetId="3">Ref!$N$3:$N$16</definedName>
    <definedName name="activity">Ref!$N$3:$N$16</definedName>
    <definedName name="budget">Ref!$P$3:$P$6</definedName>
    <definedName name="costCtr" localSheetId="4">Ref!$O$3:$O$35</definedName>
    <definedName name="costCtr" localSheetId="2">Ref!$O$3:$O$35</definedName>
    <definedName name="costCtr" localSheetId="3">Ref!$O$3:$O$35</definedName>
    <definedName name="costCtr">Ref!$O$3:$O$44</definedName>
    <definedName name="list1" localSheetId="4">'[1]Daily Accomplishment Report'!$F$12:$F$133</definedName>
    <definedName name="list1" localSheetId="2">'[2]DTR-Detailed'!$F$12:$F$133</definedName>
    <definedName name="list1" localSheetId="3">'[2]DTR-Detailed'!$F$12:$F$133</definedName>
    <definedName name="list1">DailyAccomplishmentReport!$S$12:$S$75</definedName>
    <definedName name="provider" localSheetId="4">Ref!$K$3:$K$6</definedName>
    <definedName name="provider" localSheetId="2">Ref!$K$3:$K$6</definedName>
    <definedName name="provider" localSheetId="3">Ref!$K$3:$K$6</definedName>
    <definedName name="provider">Ref!$K$3:$K$6</definedName>
    <definedName name="s">Ref!$O$3:$O$35</definedName>
    <definedName name="section" localSheetId="4">Ref!$M$3:$M$7</definedName>
    <definedName name="section" localSheetId="2">Ref!$M$3:$M$7</definedName>
    <definedName name="section" localSheetId="3">Ref!$M$3:$M$7</definedName>
    <definedName name="section">Ref!$M$3:$M$7</definedName>
    <definedName name="teamLead" localSheetId="4">Ref!$L$3:$L$7</definedName>
    <definedName name="teamLead" localSheetId="2">Ref!$L$3:$L$7</definedName>
    <definedName name="teamLead" localSheetId="3">Ref!$L$3:$L$7</definedName>
    <definedName name="teamLead">Ref!$L$3:$L$8</definedName>
  </definedNames>
  <calcPr calcId="152511"/>
  <pivotCaches>
    <pivotCache cacheId="4" r:id="rId11"/>
  </pivotCaches>
  <fileRecoveryPr repairLoad="1"/>
</workbook>
</file>

<file path=xl/calcChain.xml><?xml version="1.0" encoding="utf-8"?>
<calcChain xmlns="http://schemas.openxmlformats.org/spreadsheetml/2006/main">
  <c r="G12" i="4" l="1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2" i="3"/>
  <c r="G20" i="3"/>
  <c r="H26" i="4" l="1"/>
  <c r="H25" i="4"/>
  <c r="H24" i="4"/>
  <c r="H23" i="4"/>
  <c r="H22" i="4"/>
  <c r="H18" i="4"/>
  <c r="H17" i="4"/>
  <c r="H16" i="4"/>
  <c r="H15" i="4"/>
  <c r="H14" i="4"/>
  <c r="H13" i="4"/>
  <c r="H12" i="4"/>
  <c r="B12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H26" i="3" l="1"/>
  <c r="H25" i="3"/>
  <c r="H23" i="3"/>
  <c r="H22" i="3"/>
  <c r="H21" i="3"/>
  <c r="H20" i="3"/>
  <c r="H19" i="3"/>
  <c r="H18" i="3"/>
  <c r="G18" i="3"/>
  <c r="H17" i="3"/>
  <c r="H16" i="3"/>
  <c r="H15" i="3"/>
  <c r="H14" i="3"/>
  <c r="H13" i="3"/>
  <c r="H12" i="3"/>
  <c r="B12" i="3"/>
  <c r="G27" i="3"/>
  <c r="H27" i="3"/>
  <c r="H28" i="3" l="1"/>
  <c r="B13" i="3"/>
  <c r="B14" i="3" s="1"/>
  <c r="B15" i="3" s="1"/>
  <c r="B16" i="3" s="1"/>
  <c r="B17" i="3" s="1"/>
  <c r="B18" i="3" s="1"/>
  <c r="B19" i="3" s="1"/>
  <c r="B20" i="3" s="1"/>
  <c r="B21" i="3" s="1"/>
  <c r="B22" i="3" s="1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B44" i="8"/>
  <c r="D43" i="8"/>
  <c r="C43" i="8"/>
  <c r="B43" i="8"/>
  <c r="D42" i="8"/>
  <c r="C42" i="8"/>
  <c r="B42" i="8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F27" i="8" s="1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F19" i="8" s="1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F11" i="8" s="1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K4" i="8"/>
  <c r="D4" i="8"/>
  <c r="F4" i="8" s="1"/>
  <c r="C4" i="8"/>
  <c r="B4" i="8"/>
  <c r="F4" i="7"/>
  <c r="G3" i="7"/>
  <c r="J82" i="6"/>
  <c r="K82" i="6" s="1"/>
  <c r="J81" i="6"/>
  <c r="K81" i="6" s="1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E9" i="6"/>
  <c r="D9" i="6"/>
  <c r="B22" i="6" s="1"/>
  <c r="D7" i="6"/>
  <c r="I6" i="6" a="1"/>
  <c r="I6" i="6" s="1"/>
  <c r="D6" i="6"/>
  <c r="D5" i="6"/>
  <c r="B5" i="6"/>
  <c r="D4" i="6"/>
  <c r="F42" i="5"/>
  <c r="E42" i="5"/>
  <c r="D42" i="5"/>
  <c r="C42" i="5"/>
  <c r="G42" i="5" s="1"/>
  <c r="M27" i="4" s="1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6" i="5"/>
  <c r="E36" i="5"/>
  <c r="D36" i="5"/>
  <c r="C36" i="5"/>
  <c r="F35" i="5"/>
  <c r="H35" i="5" s="1"/>
  <c r="N20" i="4" s="1"/>
  <c r="E35" i="5"/>
  <c r="D35" i="5"/>
  <c r="C35" i="5"/>
  <c r="F34" i="5"/>
  <c r="E34" i="5"/>
  <c r="D34" i="5"/>
  <c r="C34" i="5"/>
  <c r="F33" i="5"/>
  <c r="E33" i="5"/>
  <c r="D33" i="5"/>
  <c r="C33" i="5"/>
  <c r="F32" i="5"/>
  <c r="E32" i="5"/>
  <c r="D32" i="5"/>
  <c r="C32" i="5"/>
  <c r="F31" i="5"/>
  <c r="E31" i="5"/>
  <c r="D31" i="5"/>
  <c r="C31" i="5"/>
  <c r="F30" i="5"/>
  <c r="E30" i="5"/>
  <c r="D30" i="5"/>
  <c r="C30" i="5"/>
  <c r="F29" i="5"/>
  <c r="E29" i="5"/>
  <c r="D29" i="5"/>
  <c r="C29" i="5"/>
  <c r="F28" i="5"/>
  <c r="E28" i="5"/>
  <c r="D28" i="5"/>
  <c r="C28" i="5"/>
  <c r="F27" i="5"/>
  <c r="E27" i="5"/>
  <c r="D27" i="5"/>
  <c r="C27" i="5"/>
  <c r="F26" i="5"/>
  <c r="E26" i="5"/>
  <c r="D26" i="5"/>
  <c r="C26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21" i="5"/>
  <c r="E21" i="5"/>
  <c r="D21" i="5"/>
  <c r="C21" i="5"/>
  <c r="F20" i="5"/>
  <c r="E20" i="5"/>
  <c r="D20" i="5"/>
  <c r="C20" i="5"/>
  <c r="F19" i="5"/>
  <c r="E19" i="5"/>
  <c r="D19" i="5"/>
  <c r="C19" i="5"/>
  <c r="F18" i="5"/>
  <c r="E18" i="5"/>
  <c r="D18" i="5"/>
  <c r="C18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12" i="5"/>
  <c r="E12" i="5"/>
  <c r="D12" i="5"/>
  <c r="C12" i="5"/>
  <c r="E8" i="5"/>
  <c r="D8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E5" i="5"/>
  <c r="D5" i="5"/>
  <c r="D4" i="5"/>
  <c r="J32" i="4"/>
  <c r="H32" i="4"/>
  <c r="G27" i="4"/>
  <c r="AD27" i="4"/>
  <c r="AB27" i="4"/>
  <c r="AC27" i="4" s="1"/>
  <c r="U27" i="4"/>
  <c r="T27" i="4"/>
  <c r="R27" i="4"/>
  <c r="Q27" i="4"/>
  <c r="S27" i="4" s="1"/>
  <c r="AD26" i="4"/>
  <c r="AB26" i="4"/>
  <c r="AC26" i="4" s="1"/>
  <c r="U26" i="4"/>
  <c r="T26" i="4"/>
  <c r="R26" i="4"/>
  <c r="Q26" i="4"/>
  <c r="S26" i="4" s="1"/>
  <c r="AD25" i="4"/>
  <c r="AB25" i="4"/>
  <c r="AC25" i="4" s="1"/>
  <c r="U25" i="4"/>
  <c r="T25" i="4"/>
  <c r="R25" i="4"/>
  <c r="Q25" i="4"/>
  <c r="AD24" i="4"/>
  <c r="AB24" i="4"/>
  <c r="AC24" i="4" s="1"/>
  <c r="U24" i="4"/>
  <c r="T24" i="4"/>
  <c r="R24" i="4"/>
  <c r="Q24" i="4"/>
  <c r="AD23" i="4"/>
  <c r="AB23" i="4"/>
  <c r="AC23" i="4" s="1"/>
  <c r="U23" i="4"/>
  <c r="T23" i="4"/>
  <c r="R23" i="4"/>
  <c r="Q23" i="4"/>
  <c r="S23" i="4" s="1"/>
  <c r="AD22" i="4"/>
  <c r="AB22" i="4"/>
  <c r="AC22" i="4" s="1"/>
  <c r="U22" i="4"/>
  <c r="T22" i="4"/>
  <c r="R22" i="4"/>
  <c r="Q22" i="4"/>
  <c r="AD21" i="4"/>
  <c r="AB21" i="4"/>
  <c r="AC21" i="4" s="1"/>
  <c r="U21" i="4"/>
  <c r="T21" i="4"/>
  <c r="R21" i="4"/>
  <c r="Q21" i="4"/>
  <c r="AD20" i="4"/>
  <c r="AB20" i="4"/>
  <c r="AC20" i="4" s="1"/>
  <c r="U20" i="4"/>
  <c r="T20" i="4"/>
  <c r="R20" i="4"/>
  <c r="Q20" i="4"/>
  <c r="AD19" i="4"/>
  <c r="AB19" i="4"/>
  <c r="AC19" i="4" s="1"/>
  <c r="U19" i="4"/>
  <c r="T19" i="4"/>
  <c r="R19" i="4"/>
  <c r="Q19" i="4"/>
  <c r="S19" i="4" s="1"/>
  <c r="AD18" i="4"/>
  <c r="AB18" i="4"/>
  <c r="AC18" i="4" s="1"/>
  <c r="U18" i="4"/>
  <c r="T18" i="4"/>
  <c r="R18" i="4"/>
  <c r="Q18" i="4"/>
  <c r="AD17" i="4"/>
  <c r="AB17" i="4"/>
  <c r="AC17" i="4" s="1"/>
  <c r="U17" i="4"/>
  <c r="T17" i="4"/>
  <c r="R17" i="4"/>
  <c r="Q17" i="4"/>
  <c r="S17" i="4" s="1"/>
  <c r="AD16" i="4"/>
  <c r="AB16" i="4"/>
  <c r="AC16" i="4" s="1"/>
  <c r="U16" i="4"/>
  <c r="T16" i="4"/>
  <c r="R16" i="4"/>
  <c r="Q16" i="4"/>
  <c r="S16" i="4" s="1"/>
  <c r="AD15" i="4"/>
  <c r="AB15" i="4"/>
  <c r="AC15" i="4" s="1"/>
  <c r="U15" i="4"/>
  <c r="T15" i="4"/>
  <c r="R15" i="4"/>
  <c r="Q15" i="4"/>
  <c r="AD14" i="4"/>
  <c r="AB14" i="4"/>
  <c r="AC14" i="4" s="1"/>
  <c r="U14" i="4"/>
  <c r="T14" i="4"/>
  <c r="R14" i="4"/>
  <c r="Q14" i="4"/>
  <c r="AD13" i="4"/>
  <c r="AB13" i="4"/>
  <c r="AC13" i="4" s="1"/>
  <c r="U13" i="4"/>
  <c r="T13" i="4"/>
  <c r="R13" i="4"/>
  <c r="Q13" i="4"/>
  <c r="AD12" i="4"/>
  <c r="AB12" i="4"/>
  <c r="AC12" i="4" s="1"/>
  <c r="U12" i="4"/>
  <c r="T12" i="4"/>
  <c r="R12" i="4"/>
  <c r="Q12" i="4"/>
  <c r="S12" i="4" s="1"/>
  <c r="G5" i="4"/>
  <c r="B32" i="3"/>
  <c r="AD26" i="3"/>
  <c r="AB26" i="3"/>
  <c r="AC26" i="3" s="1"/>
  <c r="U26" i="3"/>
  <c r="T26" i="3"/>
  <c r="R26" i="3"/>
  <c r="Q26" i="3"/>
  <c r="AD25" i="3"/>
  <c r="AB25" i="3"/>
  <c r="AC25" i="3" s="1"/>
  <c r="U25" i="3"/>
  <c r="T25" i="3"/>
  <c r="R25" i="3"/>
  <c r="Q25" i="3"/>
  <c r="AD24" i="3"/>
  <c r="AB24" i="3"/>
  <c r="AC24" i="3" s="1"/>
  <c r="U24" i="3"/>
  <c r="T24" i="3"/>
  <c r="R24" i="3"/>
  <c r="Q24" i="3"/>
  <c r="S24" i="3" s="1"/>
  <c r="AD23" i="3"/>
  <c r="AB23" i="3"/>
  <c r="AC23" i="3" s="1"/>
  <c r="U23" i="3"/>
  <c r="T23" i="3"/>
  <c r="R23" i="3"/>
  <c r="Q23" i="3"/>
  <c r="AD22" i="3"/>
  <c r="AB22" i="3"/>
  <c r="AC22" i="3" s="1"/>
  <c r="U22" i="3"/>
  <c r="T22" i="3"/>
  <c r="R22" i="3"/>
  <c r="Q22" i="3"/>
  <c r="AD21" i="3"/>
  <c r="AB21" i="3"/>
  <c r="AC21" i="3" s="1"/>
  <c r="U21" i="3"/>
  <c r="T21" i="3"/>
  <c r="R21" i="3"/>
  <c r="Q21" i="3"/>
  <c r="AD20" i="3"/>
  <c r="AB20" i="3"/>
  <c r="AC20" i="3" s="1"/>
  <c r="U20" i="3"/>
  <c r="T20" i="3"/>
  <c r="R20" i="3"/>
  <c r="Q20" i="3"/>
  <c r="AD19" i="3"/>
  <c r="AB19" i="3"/>
  <c r="AC19" i="3" s="1"/>
  <c r="U19" i="3"/>
  <c r="T19" i="3"/>
  <c r="R19" i="3"/>
  <c r="Q19" i="3"/>
  <c r="AD18" i="3"/>
  <c r="AB18" i="3"/>
  <c r="AC18" i="3" s="1"/>
  <c r="U18" i="3"/>
  <c r="T18" i="3"/>
  <c r="R18" i="3"/>
  <c r="Q18" i="3"/>
  <c r="AD17" i="3"/>
  <c r="AB17" i="3"/>
  <c r="AC17" i="3" s="1"/>
  <c r="U17" i="3"/>
  <c r="T17" i="3"/>
  <c r="R17" i="3"/>
  <c r="Q17" i="3"/>
  <c r="S17" i="3" s="1"/>
  <c r="AD16" i="3"/>
  <c r="AB16" i="3"/>
  <c r="AC16" i="3" s="1"/>
  <c r="U16" i="3"/>
  <c r="T16" i="3"/>
  <c r="R16" i="3"/>
  <c r="Q16" i="3"/>
  <c r="AD15" i="3"/>
  <c r="AB15" i="3"/>
  <c r="AC15" i="3" s="1"/>
  <c r="U15" i="3"/>
  <c r="T15" i="3"/>
  <c r="R15" i="3"/>
  <c r="Q15" i="3"/>
  <c r="AD14" i="3"/>
  <c r="AB14" i="3"/>
  <c r="AC14" i="3" s="1"/>
  <c r="U14" i="3"/>
  <c r="T14" i="3"/>
  <c r="R14" i="3"/>
  <c r="Q14" i="3"/>
  <c r="AD13" i="3"/>
  <c r="AB13" i="3"/>
  <c r="AC13" i="3" s="1"/>
  <c r="U13" i="3"/>
  <c r="T13" i="3"/>
  <c r="R13" i="3"/>
  <c r="Q13" i="3"/>
  <c r="AD12" i="3"/>
  <c r="AB12" i="3"/>
  <c r="AC12" i="3" s="1"/>
  <c r="U12" i="3"/>
  <c r="T12" i="3"/>
  <c r="R12" i="3"/>
  <c r="Q12" i="3"/>
  <c r="G5" i="3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E93" i="8"/>
  <c r="G93" i="8" s="1"/>
  <c r="E92" i="8"/>
  <c r="G92" i="8" s="1"/>
  <c r="E91" i="8"/>
  <c r="G91" i="8" s="1"/>
  <c r="E89" i="8"/>
  <c r="G89" i="8" s="1"/>
  <c r="E87" i="8"/>
  <c r="G87" i="8" s="1"/>
  <c r="E85" i="8"/>
  <c r="G85" i="8" s="1"/>
  <c r="E83" i="8"/>
  <c r="G83" i="8" s="1"/>
  <c r="E81" i="8"/>
  <c r="G81" i="8" s="1"/>
  <c r="E79" i="8"/>
  <c r="G79" i="8" s="1"/>
  <c r="E77" i="8"/>
  <c r="G77" i="8" s="1"/>
  <c r="E75" i="8"/>
  <c r="G75" i="8" s="1"/>
  <c r="E73" i="8"/>
  <c r="G73" i="8" s="1"/>
  <c r="E71" i="8"/>
  <c r="G71" i="8" s="1"/>
  <c r="E69" i="8"/>
  <c r="G69" i="8" s="1"/>
  <c r="E67" i="8"/>
  <c r="G67" i="8" s="1"/>
  <c r="E65" i="8"/>
  <c r="G65" i="8" s="1"/>
  <c r="E63" i="8"/>
  <c r="G63" i="8" s="1"/>
  <c r="E61" i="8"/>
  <c r="G61" i="8" s="1"/>
  <c r="E59" i="8"/>
  <c r="G59" i="8" s="1"/>
  <c r="E57" i="8"/>
  <c r="G57" i="8" s="1"/>
  <c r="E55" i="8"/>
  <c r="G55" i="8" s="1"/>
  <c r="E53" i="8"/>
  <c r="G53" i="8" s="1"/>
  <c r="E51" i="8"/>
  <c r="G51" i="8" s="1"/>
  <c r="E49" i="8"/>
  <c r="G49" i="8" s="1"/>
  <c r="E47" i="8"/>
  <c r="G47" i="8" s="1"/>
  <c r="E45" i="8"/>
  <c r="G45" i="8" s="1"/>
  <c r="E43" i="8"/>
  <c r="G43" i="8" s="1"/>
  <c r="E41" i="8"/>
  <c r="G41" i="8" s="1"/>
  <c r="E39" i="8"/>
  <c r="G39" i="8" s="1"/>
  <c r="E37" i="8"/>
  <c r="G37" i="8" s="1"/>
  <c r="E35" i="8"/>
  <c r="G35" i="8" s="1"/>
  <c r="E33" i="8"/>
  <c r="G33" i="8" s="1"/>
  <c r="E31" i="8"/>
  <c r="G31" i="8" s="1"/>
  <c r="E30" i="8"/>
  <c r="G30" i="8" s="1"/>
  <c r="E28" i="8"/>
  <c r="G28" i="8" s="1"/>
  <c r="E26" i="8"/>
  <c r="G26" i="8" s="1"/>
  <c r="E25" i="8"/>
  <c r="G25" i="8" s="1"/>
  <c r="E24" i="8"/>
  <c r="G24" i="8" s="1"/>
  <c r="E23" i="8"/>
  <c r="G23" i="8" s="1"/>
  <c r="E22" i="8"/>
  <c r="G22" i="8" s="1"/>
  <c r="E20" i="8"/>
  <c r="G20" i="8" s="1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G8" i="2"/>
  <c r="H26" i="5" l="1"/>
  <c r="N26" i="3" s="1"/>
  <c r="S26" i="3"/>
  <c r="S25" i="3"/>
  <c r="S23" i="3"/>
  <c r="S22" i="3"/>
  <c r="S21" i="3"/>
  <c r="S24" i="4"/>
  <c r="S15" i="4"/>
  <c r="S14" i="4"/>
  <c r="H34" i="5"/>
  <c r="N19" i="4" s="1"/>
  <c r="S25" i="4"/>
  <c r="S22" i="4"/>
  <c r="S21" i="4"/>
  <c r="S20" i="4"/>
  <c r="S18" i="4"/>
  <c r="F30" i="8"/>
  <c r="S20" i="3"/>
  <c r="S19" i="3"/>
  <c r="S16" i="3"/>
  <c r="G16" i="3"/>
  <c r="S15" i="3"/>
  <c r="G15" i="3"/>
  <c r="S14" i="3"/>
  <c r="G14" i="3"/>
  <c r="G19" i="5"/>
  <c r="M19" i="3" s="1"/>
  <c r="G27" i="5"/>
  <c r="M12" i="4" s="1"/>
  <c r="H38" i="5"/>
  <c r="N23" i="4" s="1"/>
  <c r="F8" i="8"/>
  <c r="F16" i="8"/>
  <c r="H13" i="5"/>
  <c r="N13" i="3" s="1"/>
  <c r="F6" i="8"/>
  <c r="F14" i="8"/>
  <c r="F9" i="8"/>
  <c r="F17" i="8"/>
  <c r="F41" i="8"/>
  <c r="H41" i="8" s="1"/>
  <c r="F57" i="8"/>
  <c r="H57" i="8" s="1"/>
  <c r="G16" i="5"/>
  <c r="M16" i="3" s="1"/>
  <c r="G18" i="5"/>
  <c r="M18" i="3" s="1"/>
  <c r="G20" i="5"/>
  <c r="M20" i="3" s="1"/>
  <c r="G28" i="5"/>
  <c r="M13" i="4" s="1"/>
  <c r="F12" i="8"/>
  <c r="F36" i="8"/>
  <c r="F7" i="8"/>
  <c r="F15" i="8"/>
  <c r="F23" i="8"/>
  <c r="H23" i="8" s="1"/>
  <c r="F39" i="8"/>
  <c r="F55" i="8"/>
  <c r="F10" i="8"/>
  <c r="F5" i="8"/>
  <c r="F13" i="8"/>
  <c r="F37" i="8"/>
  <c r="H37" i="8" s="1"/>
  <c r="F53" i="8"/>
  <c r="H53" i="8" s="1"/>
  <c r="S12" i="3"/>
  <c r="S13" i="4"/>
  <c r="G36" i="5"/>
  <c r="M21" i="4" s="1"/>
  <c r="G17" i="3"/>
  <c r="G13" i="3"/>
  <c r="AP14" i="2"/>
  <c r="E6" i="8" s="1"/>
  <c r="G6" i="8" s="1"/>
  <c r="AP16" i="2"/>
  <c r="E8" i="8" s="1"/>
  <c r="G8" i="8" s="1"/>
  <c r="AP17" i="2"/>
  <c r="E9" i="8" s="1"/>
  <c r="G9" i="8" s="1"/>
  <c r="AP22" i="2"/>
  <c r="E14" i="8" s="1"/>
  <c r="G14" i="8" s="1"/>
  <c r="AP24" i="2"/>
  <c r="E16" i="8" s="1"/>
  <c r="G16" i="8" s="1"/>
  <c r="AP12" i="2"/>
  <c r="E4" i="8" s="1"/>
  <c r="G4" i="8" s="1"/>
  <c r="H4" i="8" s="1"/>
  <c r="AP15" i="2"/>
  <c r="E7" i="8" s="1"/>
  <c r="G7" i="8" s="1"/>
  <c r="AP23" i="2"/>
  <c r="E15" i="8" s="1"/>
  <c r="G15" i="8" s="1"/>
  <c r="AP18" i="2"/>
  <c r="E10" i="8" s="1"/>
  <c r="G10" i="8" s="1"/>
  <c r="AP20" i="2"/>
  <c r="E12" i="8" s="1"/>
  <c r="G12" i="8" s="1"/>
  <c r="AP26" i="2"/>
  <c r="E18" i="8" s="1"/>
  <c r="G18" i="8" s="1"/>
  <c r="H14" i="5"/>
  <c r="N14" i="3" s="1"/>
  <c r="G12" i="5"/>
  <c r="M12" i="3" s="1"/>
  <c r="H15" i="5"/>
  <c r="N15" i="3" s="1"/>
  <c r="H16" i="5"/>
  <c r="N16" i="3" s="1"/>
  <c r="H17" i="5"/>
  <c r="N17" i="3" s="1"/>
  <c r="H19" i="5"/>
  <c r="N19" i="3" s="1"/>
  <c r="H21" i="5"/>
  <c r="N21" i="3" s="1"/>
  <c r="H22" i="5"/>
  <c r="N22" i="3" s="1"/>
  <c r="S13" i="3"/>
  <c r="G13" i="5"/>
  <c r="M13" i="3" s="1"/>
  <c r="G23" i="5"/>
  <c r="M23" i="3" s="1"/>
  <c r="G25" i="5"/>
  <c r="M25" i="3" s="1"/>
  <c r="H18" i="5"/>
  <c r="N18" i="3" s="1"/>
  <c r="H23" i="5"/>
  <c r="N23" i="3" s="1"/>
  <c r="H24" i="5"/>
  <c r="N24" i="3" s="1"/>
  <c r="H25" i="5"/>
  <c r="N25" i="3" s="1"/>
  <c r="G31" i="5"/>
  <c r="M16" i="4" s="1"/>
  <c r="H28" i="4"/>
  <c r="H27" i="5"/>
  <c r="N12" i="4" s="1"/>
  <c r="H29" i="5"/>
  <c r="N14" i="4" s="1"/>
  <c r="H30" i="5"/>
  <c r="N15" i="4" s="1"/>
  <c r="H31" i="5"/>
  <c r="N16" i="4" s="1"/>
  <c r="G33" i="5"/>
  <c r="M18" i="4" s="1"/>
  <c r="H32" i="5"/>
  <c r="N17" i="4" s="1"/>
  <c r="H33" i="5"/>
  <c r="N18" i="4" s="1"/>
  <c r="H37" i="5"/>
  <c r="N22" i="4" s="1"/>
  <c r="H42" i="5"/>
  <c r="N27" i="4" s="1"/>
  <c r="H40" i="5"/>
  <c r="N25" i="4" s="1"/>
  <c r="H39" i="5"/>
  <c r="N24" i="4" s="1"/>
  <c r="H41" i="5"/>
  <c r="N26" i="4" s="1"/>
  <c r="G41" i="5"/>
  <c r="M26" i="4" s="1"/>
  <c r="G40" i="5"/>
  <c r="M25" i="4" s="1"/>
  <c r="G29" i="5"/>
  <c r="M14" i="4" s="1"/>
  <c r="G30" i="5"/>
  <c r="M15" i="4" s="1"/>
  <c r="G39" i="5"/>
  <c r="M24" i="4" s="1"/>
  <c r="G37" i="5"/>
  <c r="M22" i="4" s="1"/>
  <c r="G38" i="5"/>
  <c r="M23" i="4" s="1"/>
  <c r="G32" i="5"/>
  <c r="M17" i="4" s="1"/>
  <c r="G34" i="5"/>
  <c r="M19" i="4" s="1"/>
  <c r="G35" i="5"/>
  <c r="M20" i="4" s="1"/>
  <c r="G26" i="5"/>
  <c r="M26" i="3" s="1"/>
  <c r="G24" i="5"/>
  <c r="M24" i="3" s="1"/>
  <c r="G22" i="5"/>
  <c r="M22" i="3" s="1"/>
  <c r="G21" i="5"/>
  <c r="M21" i="3" s="1"/>
  <c r="G17" i="5"/>
  <c r="M17" i="3" s="1"/>
  <c r="G15" i="5"/>
  <c r="M15" i="3" s="1"/>
  <c r="G14" i="5"/>
  <c r="M14" i="3" s="1"/>
  <c r="AP25" i="2"/>
  <c r="E17" i="8" s="1"/>
  <c r="G17" i="8" s="1"/>
  <c r="E19" i="8"/>
  <c r="G19" i="8" s="1"/>
  <c r="H19" i="8" s="1"/>
  <c r="E21" i="8"/>
  <c r="G21" i="8" s="1"/>
  <c r="E29" i="8"/>
  <c r="G29" i="8" s="1"/>
  <c r="E90" i="8"/>
  <c r="G90" i="8" s="1"/>
  <c r="AP13" i="2"/>
  <c r="AP19" i="2"/>
  <c r="E11" i="8" s="1"/>
  <c r="G11" i="8" s="1"/>
  <c r="H11" i="8" s="1"/>
  <c r="AP21" i="2"/>
  <c r="E13" i="8" s="1"/>
  <c r="G13" i="8" s="1"/>
  <c r="E27" i="8"/>
  <c r="G27" i="8" s="1"/>
  <c r="H27" i="8" s="1"/>
  <c r="E32" i="8"/>
  <c r="G32" i="8" s="1"/>
  <c r="E34" i="8"/>
  <c r="G34" i="8" s="1"/>
  <c r="E36" i="8"/>
  <c r="G36" i="8" s="1"/>
  <c r="E38" i="8"/>
  <c r="G38" i="8" s="1"/>
  <c r="E40" i="8"/>
  <c r="G40" i="8" s="1"/>
  <c r="E42" i="8"/>
  <c r="G42" i="8" s="1"/>
  <c r="E44" i="8"/>
  <c r="G44" i="8" s="1"/>
  <c r="E46" i="8"/>
  <c r="G46" i="8" s="1"/>
  <c r="E48" i="8"/>
  <c r="G48" i="8" s="1"/>
  <c r="E50" i="8"/>
  <c r="G50" i="8" s="1"/>
  <c r="E52" i="8"/>
  <c r="G52" i="8" s="1"/>
  <c r="E54" i="8"/>
  <c r="G54" i="8" s="1"/>
  <c r="E56" i="8"/>
  <c r="G56" i="8" s="1"/>
  <c r="E58" i="8"/>
  <c r="G58" i="8" s="1"/>
  <c r="E60" i="8"/>
  <c r="G60" i="8" s="1"/>
  <c r="E62" i="8"/>
  <c r="G62" i="8" s="1"/>
  <c r="E64" i="8"/>
  <c r="G64" i="8" s="1"/>
  <c r="E66" i="8"/>
  <c r="G66" i="8" s="1"/>
  <c r="E68" i="8"/>
  <c r="G68" i="8" s="1"/>
  <c r="E70" i="8"/>
  <c r="G70" i="8" s="1"/>
  <c r="E72" i="8"/>
  <c r="G72" i="8" s="1"/>
  <c r="E74" i="8"/>
  <c r="G74" i="8" s="1"/>
  <c r="E76" i="8"/>
  <c r="G76" i="8" s="1"/>
  <c r="E78" i="8"/>
  <c r="G78" i="8" s="1"/>
  <c r="E80" i="8"/>
  <c r="G80" i="8" s="1"/>
  <c r="E82" i="8"/>
  <c r="G82" i="8" s="1"/>
  <c r="E84" i="8"/>
  <c r="G84" i="8" s="1"/>
  <c r="E86" i="8"/>
  <c r="G86" i="8" s="1"/>
  <c r="E88" i="8"/>
  <c r="G88" i="8" s="1"/>
  <c r="S18" i="3"/>
  <c r="B23" i="6"/>
  <c r="H20" i="5"/>
  <c r="N20" i="3" s="1"/>
  <c r="H36" i="5"/>
  <c r="N21" i="4" s="1"/>
  <c r="J6" i="6"/>
  <c r="I7" i="6" a="1"/>
  <c r="I7" i="6" s="1"/>
  <c r="H12" i="5"/>
  <c r="N12" i="3" s="1"/>
  <c r="H28" i="5"/>
  <c r="N13" i="4" s="1"/>
  <c r="F5" i="7"/>
  <c r="G4" i="7"/>
  <c r="H4" i="7" s="1"/>
  <c r="H39" i="8"/>
  <c r="H30" i="8"/>
  <c r="H55" i="8"/>
  <c r="F18" i="8"/>
  <c r="F20" i="8"/>
  <c r="H20" i="8" s="1"/>
  <c r="F22" i="8"/>
  <c r="H22" i="8" s="1"/>
  <c r="F24" i="8"/>
  <c r="H24" i="8" s="1"/>
  <c r="F26" i="8"/>
  <c r="H26" i="8" s="1"/>
  <c r="F28" i="8"/>
  <c r="H28" i="8" s="1"/>
  <c r="F32" i="8"/>
  <c r="F33" i="8"/>
  <c r="H33" i="8" s="1"/>
  <c r="F45" i="8"/>
  <c r="H45" i="8" s="1"/>
  <c r="F47" i="8"/>
  <c r="H47" i="8" s="1"/>
  <c r="F49" i="8"/>
  <c r="H49" i="8" s="1"/>
  <c r="F61" i="8"/>
  <c r="H61" i="8" s="1"/>
  <c r="F90" i="8"/>
  <c r="F86" i="8"/>
  <c r="F82" i="8"/>
  <c r="F78" i="8"/>
  <c r="F74" i="8"/>
  <c r="F70" i="8"/>
  <c r="F66" i="8"/>
  <c r="F62" i="8"/>
  <c r="F54" i="8"/>
  <c r="F46" i="8"/>
  <c r="F38" i="8"/>
  <c r="F91" i="8"/>
  <c r="H91" i="8" s="1"/>
  <c r="F87" i="8"/>
  <c r="H87" i="8" s="1"/>
  <c r="F83" i="8"/>
  <c r="H83" i="8" s="1"/>
  <c r="F79" i="8"/>
  <c r="H79" i="8" s="1"/>
  <c r="F75" i="8"/>
  <c r="H75" i="8" s="1"/>
  <c r="F71" i="8"/>
  <c r="H71" i="8" s="1"/>
  <c r="F67" i="8"/>
  <c r="H67" i="8" s="1"/>
  <c r="F63" i="8"/>
  <c r="H63" i="8" s="1"/>
  <c r="F59" i="8"/>
  <c r="H59" i="8" s="1"/>
  <c r="F58" i="8"/>
  <c r="F51" i="8"/>
  <c r="H51" i="8" s="1"/>
  <c r="F50" i="8"/>
  <c r="F43" i="8"/>
  <c r="H43" i="8" s="1"/>
  <c r="F42" i="8"/>
  <c r="F35" i="8"/>
  <c r="H35" i="8" s="1"/>
  <c r="F31" i="8"/>
  <c r="H31" i="8" s="1"/>
  <c r="F21" i="8"/>
  <c r="F25" i="8"/>
  <c r="H25" i="8" s="1"/>
  <c r="F29" i="8"/>
  <c r="F34" i="8"/>
  <c r="F40" i="8"/>
  <c r="F48" i="8"/>
  <c r="F56" i="8"/>
  <c r="F65" i="8"/>
  <c r="H65" i="8" s="1"/>
  <c r="F69" i="8"/>
  <c r="H69" i="8" s="1"/>
  <c r="F73" i="8"/>
  <c r="H73" i="8" s="1"/>
  <c r="F77" i="8"/>
  <c r="H77" i="8" s="1"/>
  <c r="F81" i="8"/>
  <c r="H81" i="8" s="1"/>
  <c r="F85" i="8"/>
  <c r="H85" i="8" s="1"/>
  <c r="F89" i="8"/>
  <c r="H89" i="8" s="1"/>
  <c r="F93" i="8"/>
  <c r="H93" i="8" s="1"/>
  <c r="F44" i="8"/>
  <c r="F52" i="8"/>
  <c r="F60" i="8"/>
  <c r="F64" i="8"/>
  <c r="F68" i="8"/>
  <c r="F72" i="8"/>
  <c r="F76" i="8"/>
  <c r="F80" i="8"/>
  <c r="F84" i="8"/>
  <c r="F88" i="8"/>
  <c r="F92" i="8"/>
  <c r="H92" i="8" s="1"/>
  <c r="H6" i="8" l="1"/>
  <c r="H58" i="8"/>
  <c r="H74" i="8"/>
  <c r="H9" i="8"/>
  <c r="I9" i="8" s="1"/>
  <c r="J9" i="8" s="1"/>
  <c r="H44" i="8"/>
  <c r="I44" i="8" s="1"/>
  <c r="J44" i="8" s="1"/>
  <c r="H12" i="8"/>
  <c r="I12" i="8" s="1"/>
  <c r="J12" i="8" s="1"/>
  <c r="H16" i="8"/>
  <c r="I16" i="8" s="1"/>
  <c r="J16" i="8" s="1"/>
  <c r="H42" i="8"/>
  <c r="I42" i="8" s="1"/>
  <c r="J42" i="8" s="1"/>
  <c r="H68" i="8"/>
  <c r="I68" i="8" s="1"/>
  <c r="J68" i="8" s="1"/>
  <c r="H34" i="8"/>
  <c r="I34" i="8" s="1"/>
  <c r="J34" i="8" s="1"/>
  <c r="H50" i="8"/>
  <c r="I50" i="8" s="1"/>
  <c r="J50" i="8" s="1"/>
  <c r="H36" i="8"/>
  <c r="I36" i="8" s="1"/>
  <c r="J36" i="8" s="1"/>
  <c r="H8" i="8"/>
  <c r="I8" i="8" s="1"/>
  <c r="J8" i="8" s="1"/>
  <c r="H84" i="8"/>
  <c r="I84" i="8" s="1"/>
  <c r="J84" i="8" s="1"/>
  <c r="H17" i="8"/>
  <c r="I17" i="8" s="1"/>
  <c r="J17" i="8" s="1"/>
  <c r="H86" i="8"/>
  <c r="I86" i="8" s="1"/>
  <c r="J86" i="8" s="1"/>
  <c r="H13" i="8"/>
  <c r="I13" i="8" s="1"/>
  <c r="J13" i="8" s="1"/>
  <c r="H70" i="8"/>
  <c r="I70" i="8" s="1"/>
  <c r="J70" i="8" s="1"/>
  <c r="H38" i="8"/>
  <c r="I38" i="8" s="1"/>
  <c r="J38" i="8" s="1"/>
  <c r="H15" i="8"/>
  <c r="I15" i="8" s="1"/>
  <c r="J15" i="8" s="1"/>
  <c r="H10" i="8"/>
  <c r="I10" i="8" s="1"/>
  <c r="J10" i="8" s="1"/>
  <c r="H21" i="8"/>
  <c r="I21" i="8" s="1"/>
  <c r="J21" i="8" s="1"/>
  <c r="H14" i="8"/>
  <c r="I14" i="8" s="1"/>
  <c r="J14" i="8" s="1"/>
  <c r="H76" i="8"/>
  <c r="I76" i="8" s="1"/>
  <c r="J76" i="8" s="1"/>
  <c r="H46" i="8"/>
  <c r="I46" i="8" s="1"/>
  <c r="J46" i="8" s="1"/>
  <c r="H60" i="8"/>
  <c r="I60" i="8" s="1"/>
  <c r="J60" i="8" s="1"/>
  <c r="H7" i="8"/>
  <c r="I7" i="8" s="1"/>
  <c r="J7" i="8" s="1"/>
  <c r="H52" i="8"/>
  <c r="I52" i="8" s="1"/>
  <c r="J52" i="8" s="1"/>
  <c r="G28" i="3"/>
  <c r="H32" i="8"/>
  <c r="I32" i="8" s="1"/>
  <c r="J32" i="8" s="1"/>
  <c r="H66" i="8"/>
  <c r="I66" i="8" s="1"/>
  <c r="J66" i="8" s="1"/>
  <c r="H82" i="8"/>
  <c r="I82" i="8" s="1"/>
  <c r="J82" i="8" s="1"/>
  <c r="H18" i="8"/>
  <c r="I18" i="8" s="1"/>
  <c r="J18" i="8" s="1"/>
  <c r="K6" i="6"/>
  <c r="N6" i="6" s="1"/>
  <c r="H80" i="8"/>
  <c r="I80" i="8" s="1"/>
  <c r="J80" i="8" s="1"/>
  <c r="H64" i="8"/>
  <c r="I64" i="8" s="1"/>
  <c r="J64" i="8" s="1"/>
  <c r="H56" i="8"/>
  <c r="I56" i="8" s="1"/>
  <c r="J56" i="8" s="1"/>
  <c r="H48" i="8"/>
  <c r="I48" i="8" s="1"/>
  <c r="J48" i="8" s="1"/>
  <c r="H54" i="8"/>
  <c r="I54" i="8" s="1"/>
  <c r="J54" i="8" s="1"/>
  <c r="H90" i="8"/>
  <c r="I90" i="8" s="1"/>
  <c r="J90" i="8" s="1"/>
  <c r="H88" i="8"/>
  <c r="I88" i="8" s="1"/>
  <c r="J88" i="8" s="1"/>
  <c r="H72" i="8"/>
  <c r="I72" i="8" s="1"/>
  <c r="J72" i="8" s="1"/>
  <c r="H40" i="8"/>
  <c r="I40" i="8" s="1"/>
  <c r="J40" i="8" s="1"/>
  <c r="H62" i="8"/>
  <c r="I62" i="8" s="1"/>
  <c r="H78" i="8"/>
  <c r="I78" i="8" s="1"/>
  <c r="J78" i="8" s="1"/>
  <c r="H29" i="8"/>
  <c r="I29" i="8" s="1"/>
  <c r="J29" i="8" s="1"/>
  <c r="G28" i="4"/>
  <c r="I93" i="8"/>
  <c r="J93" i="8" s="1"/>
  <c r="I77" i="8"/>
  <c r="J77" i="8" s="1"/>
  <c r="I35" i="8"/>
  <c r="J35" i="8" s="1"/>
  <c r="I51" i="8"/>
  <c r="J51" i="8" s="1"/>
  <c r="I67" i="8"/>
  <c r="J67" i="8" s="1"/>
  <c r="I83" i="8"/>
  <c r="J83" i="8" s="1"/>
  <c r="I47" i="8"/>
  <c r="J47" i="8" s="1"/>
  <c r="I28" i="8"/>
  <c r="J28" i="8" s="1"/>
  <c r="I20" i="8"/>
  <c r="J20" i="8" s="1"/>
  <c r="I37" i="8"/>
  <c r="J37" i="8" s="1"/>
  <c r="I57" i="8"/>
  <c r="J57" i="8" s="1"/>
  <c r="I81" i="8"/>
  <c r="J81" i="8" s="1"/>
  <c r="I65" i="8"/>
  <c r="J65" i="8" s="1"/>
  <c r="I79" i="8"/>
  <c r="J79" i="8" s="1"/>
  <c r="I49" i="8"/>
  <c r="J49" i="8" s="1"/>
  <c r="I22" i="8"/>
  <c r="J22" i="8" s="1"/>
  <c r="I6" i="8"/>
  <c r="J6" i="8" s="1"/>
  <c r="I92" i="8"/>
  <c r="J92" i="8" s="1"/>
  <c r="I73" i="8"/>
  <c r="J73" i="8" s="1"/>
  <c r="I25" i="8"/>
  <c r="J25" i="8" s="1"/>
  <c r="I58" i="8"/>
  <c r="J58" i="8" s="1"/>
  <c r="I87" i="8"/>
  <c r="J87" i="8" s="1"/>
  <c r="I74" i="8"/>
  <c r="J74" i="8" s="1"/>
  <c r="I45" i="8"/>
  <c r="J45" i="8" s="1"/>
  <c r="I26" i="8"/>
  <c r="J26" i="8" s="1"/>
  <c r="I30" i="8"/>
  <c r="J30" i="8" s="1"/>
  <c r="I53" i="8"/>
  <c r="J53" i="8" s="1"/>
  <c r="I11" i="8"/>
  <c r="J11" i="8" s="1"/>
  <c r="I31" i="8"/>
  <c r="J31" i="8" s="1"/>
  <c r="I63" i="8"/>
  <c r="J63" i="8" s="1"/>
  <c r="I41" i="8"/>
  <c r="J41" i="8" s="1"/>
  <c r="I27" i="8"/>
  <c r="J27" i="8" s="1"/>
  <c r="I4" i="8"/>
  <c r="J4" i="8" s="1"/>
  <c r="I89" i="8"/>
  <c r="J89" i="8" s="1"/>
  <c r="I71" i="8"/>
  <c r="J71" i="8" s="1"/>
  <c r="I85" i="8"/>
  <c r="J85" i="8" s="1"/>
  <c r="I69" i="8"/>
  <c r="J69" i="8" s="1"/>
  <c r="I43" i="8"/>
  <c r="J43" i="8" s="1"/>
  <c r="I59" i="8"/>
  <c r="J59" i="8" s="1"/>
  <c r="I75" i="8"/>
  <c r="J75" i="8" s="1"/>
  <c r="I91" i="8"/>
  <c r="J91" i="8" s="1"/>
  <c r="I61" i="8"/>
  <c r="J61" i="8" s="1"/>
  <c r="I33" i="8"/>
  <c r="J33" i="8" s="1"/>
  <c r="I24" i="8"/>
  <c r="J24" i="8" s="1"/>
  <c r="I55" i="8"/>
  <c r="J55" i="8" s="1"/>
  <c r="I23" i="8"/>
  <c r="J23" i="8" s="1"/>
  <c r="I39" i="8"/>
  <c r="J39" i="8" s="1"/>
  <c r="F6" i="7"/>
  <c r="G5" i="7"/>
  <c r="H5" i="7" s="1"/>
  <c r="I8" i="6" a="1"/>
  <c r="I8" i="6" s="1"/>
  <c r="M6" i="6"/>
  <c r="B24" i="6"/>
  <c r="E5" i="8"/>
  <c r="G5" i="8" s="1"/>
  <c r="H5" i="8" s="1"/>
  <c r="J7" i="6"/>
  <c r="M7" i="6" s="1"/>
  <c r="K7" i="6"/>
  <c r="N7" i="6" s="1"/>
  <c r="I19" i="8"/>
  <c r="J19" i="8" s="1"/>
  <c r="J62" i="8" l="1"/>
  <c r="I5" i="8"/>
  <c r="J5" i="8" s="1"/>
  <c r="J8" i="6"/>
  <c r="M8" i="6" s="1"/>
  <c r="K8" i="6"/>
  <c r="N8" i="6" s="1"/>
  <c r="B25" i="6"/>
  <c r="G6" i="7"/>
  <c r="H6" i="7" s="1"/>
  <c r="F7" i="7"/>
  <c r="I9" i="6" a="1"/>
  <c r="I9" i="6" s="1"/>
  <c r="O7" i="6"/>
  <c r="P7" i="6" s="1"/>
  <c r="Q7" i="6" s="1"/>
  <c r="O6" i="6"/>
  <c r="B26" i="6" l="1"/>
  <c r="O8" i="6"/>
  <c r="P8" i="6" s="1"/>
  <c r="Q8" i="6" s="1"/>
  <c r="I10" i="6" a="1"/>
  <c r="I10" i="6" s="1"/>
  <c r="I11" i="6" s="1" a="1"/>
  <c r="I11" i="6" s="1"/>
  <c r="G7" i="7"/>
  <c r="H7" i="7" s="1"/>
  <c r="F8" i="7"/>
  <c r="P6" i="6"/>
  <c r="J9" i="6"/>
  <c r="M9" i="6" s="1"/>
  <c r="K9" i="6"/>
  <c r="J11" i="6" l="1"/>
  <c r="M11" i="6" s="1"/>
  <c r="K11" i="6"/>
  <c r="N11" i="6" s="1"/>
  <c r="N9" i="6"/>
  <c r="Q6" i="6"/>
  <c r="J10" i="6"/>
  <c r="M10" i="6" s="1"/>
  <c r="K10" i="6"/>
  <c r="N10" i="6" s="1"/>
  <c r="F9" i="7"/>
  <c r="G8" i="7"/>
  <c r="H8" i="7" s="1"/>
  <c r="I12" i="6" a="1"/>
  <c r="I12" i="6" s="1"/>
  <c r="B27" i="6"/>
  <c r="O10" i="6" l="1"/>
  <c r="P10" i="6" s="1"/>
  <c r="Q10" i="6" s="1"/>
  <c r="O11" i="6"/>
  <c r="P11" i="6" s="1"/>
  <c r="Q11" i="6" s="1"/>
  <c r="J12" i="6"/>
  <c r="K12" i="6"/>
  <c r="N12" i="6" s="1"/>
  <c r="I13" i="6" a="1"/>
  <c r="I13" i="6" s="1"/>
  <c r="F10" i="7"/>
  <c r="G9" i="7"/>
  <c r="H9" i="7" s="1"/>
  <c r="O9" i="6"/>
  <c r="B28" i="6"/>
  <c r="B29" i="6" l="1"/>
  <c r="P9" i="6"/>
  <c r="G10" i="7"/>
  <c r="H10" i="7" s="1"/>
  <c r="F11" i="7"/>
  <c r="M12" i="6"/>
  <c r="O12" i="6" s="1"/>
  <c r="J13" i="6"/>
  <c r="M13" i="6" s="1"/>
  <c r="K13" i="6"/>
  <c r="I14" i="6" a="1"/>
  <c r="I14" i="6" s="1"/>
  <c r="P12" i="6" l="1"/>
  <c r="Q12" i="6" s="1"/>
  <c r="Q9" i="6"/>
  <c r="J14" i="6"/>
  <c r="M14" i="6" s="1"/>
  <c r="K14" i="6"/>
  <c r="N14" i="6" s="1"/>
  <c r="I15" i="6" a="1"/>
  <c r="I15" i="6" s="1"/>
  <c r="N13" i="6"/>
  <c r="G11" i="7"/>
  <c r="H11" i="7" s="1"/>
  <c r="F12" i="7"/>
  <c r="B30" i="6"/>
  <c r="O14" i="6" l="1"/>
  <c r="P14" i="6" s="1"/>
  <c r="Q14" i="6" s="1"/>
  <c r="J15" i="6"/>
  <c r="M15" i="6" s="1"/>
  <c r="K15" i="6"/>
  <c r="N15" i="6" s="1"/>
  <c r="I16" i="6" a="1"/>
  <c r="I16" i="6" s="1"/>
  <c r="B31" i="6"/>
  <c r="O13" i="6"/>
  <c r="F13" i="7"/>
  <c r="G12" i="7"/>
  <c r="H12" i="7" s="1"/>
  <c r="O15" i="6" l="1"/>
  <c r="P15" i="6" s="1"/>
  <c r="Q15" i="6" s="1"/>
  <c r="F14" i="7"/>
  <c r="G13" i="7"/>
  <c r="H13" i="7" s="1"/>
  <c r="P13" i="6"/>
  <c r="B32" i="6"/>
  <c r="J16" i="6"/>
  <c r="M16" i="6" s="1"/>
  <c r="K16" i="6"/>
  <c r="N16" i="6" s="1"/>
  <c r="I17" i="6" a="1"/>
  <c r="I17" i="6" s="1"/>
  <c r="O16" i="6" l="1"/>
  <c r="P16" i="6" s="1"/>
  <c r="Q16" i="6" s="1"/>
  <c r="K17" i="6"/>
  <c r="J17" i="6"/>
  <c r="G14" i="7"/>
  <c r="H14" i="7" s="1"/>
  <c r="F15" i="7"/>
  <c r="B33" i="6"/>
  <c r="Q13" i="6"/>
  <c r="M17" i="6" l="1"/>
  <c r="M18" i="6" s="1"/>
  <c r="J18" i="6"/>
  <c r="B34" i="6"/>
  <c r="N17" i="6"/>
  <c r="K18" i="6"/>
  <c r="G15" i="7"/>
  <c r="H15" i="7" s="1"/>
  <c r="F16" i="7"/>
  <c r="F17" i="7" l="1"/>
  <c r="G16" i="7"/>
  <c r="H16" i="7" s="1"/>
  <c r="O17" i="6"/>
  <c r="N18" i="6"/>
  <c r="B35" i="6"/>
  <c r="P17" i="6" l="1"/>
  <c r="O18" i="6"/>
  <c r="B36" i="6"/>
  <c r="F18" i="7"/>
  <c r="G17" i="7"/>
  <c r="H17" i="7" s="1"/>
  <c r="B37" i="6" l="1"/>
  <c r="G18" i="7"/>
  <c r="H18" i="7" s="1"/>
  <c r="F19" i="7"/>
  <c r="Q17" i="6"/>
  <c r="Q18" i="6" s="1"/>
  <c r="P18" i="6"/>
  <c r="B38" i="6" l="1"/>
  <c r="G19" i="7"/>
  <c r="H19" i="7" s="1"/>
  <c r="F20" i="7"/>
  <c r="F21" i="7" l="1"/>
  <c r="G20" i="7"/>
  <c r="H20" i="7" s="1"/>
  <c r="B39" i="6"/>
  <c r="B40" i="6" l="1"/>
  <c r="F22" i="7"/>
  <c r="G21" i="7"/>
  <c r="H21" i="7" s="1"/>
  <c r="G22" i="7" l="1"/>
  <c r="H22" i="7" s="1"/>
  <c r="F23" i="7"/>
  <c r="B41" i="6"/>
  <c r="B42" i="6" l="1"/>
  <c r="G23" i="7"/>
  <c r="H23" i="7" s="1"/>
  <c r="F24" i="7"/>
  <c r="F25" i="7" l="1"/>
  <c r="G24" i="7"/>
  <c r="H24" i="7" s="1"/>
  <c r="B43" i="6"/>
  <c r="B44" i="6" l="1"/>
  <c r="F26" i="7"/>
  <c r="G25" i="7"/>
  <c r="H25" i="7" s="1"/>
  <c r="G26" i="7" l="1"/>
  <c r="H26" i="7" s="1"/>
  <c r="F27" i="7"/>
  <c r="B45" i="6"/>
  <c r="B46" i="6" l="1"/>
  <c r="G27" i="7"/>
  <c r="H27" i="7" s="1"/>
  <c r="F28" i="7"/>
  <c r="F29" i="7" l="1"/>
  <c r="G28" i="7"/>
  <c r="H28" i="7" s="1"/>
  <c r="B47" i="6"/>
  <c r="D46" i="6"/>
  <c r="C46" i="6"/>
  <c r="C41" i="6"/>
  <c r="D39" i="6"/>
  <c r="C42" i="6"/>
  <c r="D41" i="6"/>
  <c r="C39" i="6"/>
  <c r="C43" i="6"/>
  <c r="D43" i="6"/>
  <c r="C40" i="6"/>
  <c r="D42" i="6"/>
  <c r="D44" i="6"/>
  <c r="C38" i="6"/>
  <c r="D40" i="6"/>
  <c r="D38" i="6"/>
  <c r="C44" i="6"/>
  <c r="D45" i="6"/>
  <c r="F41" i="6" l="1"/>
  <c r="L16" i="4"/>
  <c r="L31" i="5"/>
  <c r="F46" i="6"/>
  <c r="L21" i="4"/>
  <c r="L36" i="5"/>
  <c r="E40" i="6"/>
  <c r="K15" i="4"/>
  <c r="K30" i="5"/>
  <c r="F45" i="6"/>
  <c r="L20" i="4"/>
  <c r="L35" i="5"/>
  <c r="K13" i="4"/>
  <c r="K28" i="5"/>
  <c r="E38" i="6"/>
  <c r="F43" i="6"/>
  <c r="L18" i="4"/>
  <c r="L33" i="5"/>
  <c r="E42" i="6"/>
  <c r="K17" i="4"/>
  <c r="K32" i="5"/>
  <c r="P25" i="4"/>
  <c r="AA25" i="4"/>
  <c r="P17" i="3"/>
  <c r="AA12" i="4"/>
  <c r="P27" i="4"/>
  <c r="D22" i="6"/>
  <c r="P16" i="3"/>
  <c r="AA16" i="3"/>
  <c r="AA26" i="4"/>
  <c r="AA15" i="3"/>
  <c r="U22" i="6"/>
  <c r="P15" i="3"/>
  <c r="AA19" i="3"/>
  <c r="P12" i="4"/>
  <c r="P14" i="3"/>
  <c r="AA13" i="3"/>
  <c r="P12" i="3"/>
  <c r="U23" i="6"/>
  <c r="AA12" i="3"/>
  <c r="P13" i="3"/>
  <c r="AA14" i="3"/>
  <c r="AA27" i="4"/>
  <c r="D23" i="6"/>
  <c r="P26" i="4"/>
  <c r="C22" i="6"/>
  <c r="P15" i="4"/>
  <c r="P18" i="3"/>
  <c r="AA16" i="4"/>
  <c r="U26" i="6"/>
  <c r="AA13" i="4"/>
  <c r="AA17" i="3"/>
  <c r="U25" i="6"/>
  <c r="C24" i="6"/>
  <c r="U24" i="6"/>
  <c r="AA14" i="4"/>
  <c r="D24" i="6"/>
  <c r="P14" i="4"/>
  <c r="P13" i="4"/>
  <c r="U28" i="6"/>
  <c r="C23" i="6"/>
  <c r="D26" i="6"/>
  <c r="C26" i="6"/>
  <c r="P19" i="3"/>
  <c r="P16" i="4"/>
  <c r="AA18" i="3"/>
  <c r="C25" i="6"/>
  <c r="D25" i="6"/>
  <c r="AA15" i="4"/>
  <c r="AA19" i="4"/>
  <c r="AA21" i="3"/>
  <c r="P18" i="4"/>
  <c r="U27" i="6"/>
  <c r="AA18" i="4"/>
  <c r="AA20" i="3"/>
  <c r="AA17" i="4"/>
  <c r="P21" i="3"/>
  <c r="D28" i="6"/>
  <c r="C27" i="6"/>
  <c r="P17" i="4"/>
  <c r="P20" i="3"/>
  <c r="D27" i="6"/>
  <c r="P19" i="4"/>
  <c r="C28" i="6"/>
  <c r="AA22" i="3"/>
  <c r="D29" i="6"/>
  <c r="P22" i="3"/>
  <c r="P23" i="3"/>
  <c r="U29" i="6"/>
  <c r="C30" i="6"/>
  <c r="C29" i="6"/>
  <c r="AA23" i="3"/>
  <c r="P20" i="4"/>
  <c r="AA24" i="3"/>
  <c r="U30" i="6"/>
  <c r="P25" i="3"/>
  <c r="D30" i="6"/>
  <c r="AA20" i="4"/>
  <c r="P22" i="4"/>
  <c r="D32" i="6"/>
  <c r="D31" i="6"/>
  <c r="C31" i="6"/>
  <c r="AA22" i="4"/>
  <c r="P21" i="4"/>
  <c r="P24" i="3"/>
  <c r="AA25" i="3"/>
  <c r="AA21" i="4"/>
  <c r="U31" i="6"/>
  <c r="C32" i="6"/>
  <c r="C36" i="6"/>
  <c r="C33" i="6"/>
  <c r="U33" i="6"/>
  <c r="U32" i="6"/>
  <c r="P24" i="4"/>
  <c r="P26" i="3"/>
  <c r="D33" i="6"/>
  <c r="AA23" i="4"/>
  <c r="AA26" i="3"/>
  <c r="P23" i="4"/>
  <c r="U35" i="6"/>
  <c r="C34" i="6"/>
  <c r="U34" i="6"/>
  <c r="D34" i="6"/>
  <c r="AA24" i="4"/>
  <c r="C35" i="6"/>
  <c r="D35" i="6"/>
  <c r="D36" i="6"/>
  <c r="C37" i="6"/>
  <c r="U36" i="6"/>
  <c r="U37" i="6"/>
  <c r="D37" i="6"/>
  <c r="C45" i="6"/>
  <c r="B48" i="6"/>
  <c r="C47" i="6"/>
  <c r="D47" i="6"/>
  <c r="F30" i="7"/>
  <c r="G29" i="7"/>
  <c r="H29" i="7" s="1"/>
  <c r="F40" i="6"/>
  <c r="L30" i="5"/>
  <c r="L15" i="4"/>
  <c r="E44" i="6"/>
  <c r="K19" i="4"/>
  <c r="K34" i="5"/>
  <c r="L34" i="5"/>
  <c r="L19" i="4"/>
  <c r="F44" i="6"/>
  <c r="E43" i="6"/>
  <c r="K18" i="4"/>
  <c r="K33" i="5"/>
  <c r="F39" i="6"/>
  <c r="L14" i="4"/>
  <c r="L29" i="5"/>
  <c r="F38" i="6"/>
  <c r="L13" i="4"/>
  <c r="L28" i="5"/>
  <c r="F42" i="6"/>
  <c r="L17" i="4"/>
  <c r="L32" i="5"/>
  <c r="E39" i="6"/>
  <c r="K14" i="4"/>
  <c r="K29" i="5"/>
  <c r="E41" i="6"/>
  <c r="K31" i="5"/>
  <c r="K16" i="4"/>
  <c r="K36" i="5"/>
  <c r="K21" i="4"/>
  <c r="E46" i="6"/>
  <c r="G44" i="6" l="1"/>
  <c r="G42" i="6"/>
  <c r="G40" i="6"/>
  <c r="G38" i="6"/>
  <c r="F47" i="6"/>
  <c r="L22" i="4"/>
  <c r="L37" i="5"/>
  <c r="L12" i="4"/>
  <c r="L27" i="5"/>
  <c r="L26" i="5"/>
  <c r="L26" i="3"/>
  <c r="L24" i="5"/>
  <c r="L24" i="3"/>
  <c r="E33" i="6"/>
  <c r="K23" i="5"/>
  <c r="K23" i="3"/>
  <c r="E29" i="6"/>
  <c r="K19" i="5"/>
  <c r="K19" i="3"/>
  <c r="E27" i="6"/>
  <c r="K17" i="5"/>
  <c r="K17" i="3"/>
  <c r="E25" i="6"/>
  <c r="K15" i="5"/>
  <c r="K15" i="3"/>
  <c r="K16" i="3"/>
  <c r="E26" i="6"/>
  <c r="K16" i="5"/>
  <c r="L12" i="5"/>
  <c r="L12" i="3"/>
  <c r="G43" i="6"/>
  <c r="G46" i="6"/>
  <c r="G39" i="6"/>
  <c r="E47" i="6"/>
  <c r="K37" i="5"/>
  <c r="K22" i="4"/>
  <c r="L25" i="5"/>
  <c r="L25" i="3"/>
  <c r="E36" i="6"/>
  <c r="K26" i="3"/>
  <c r="K26" i="5"/>
  <c r="E31" i="6"/>
  <c r="K21" i="5"/>
  <c r="K21" i="3"/>
  <c r="K20" i="5"/>
  <c r="E30" i="6"/>
  <c r="K20" i="3"/>
  <c r="L19" i="5"/>
  <c r="L19" i="3"/>
  <c r="L17" i="3"/>
  <c r="L17" i="5"/>
  <c r="L18" i="5"/>
  <c r="L18" i="3"/>
  <c r="L16" i="5"/>
  <c r="L16" i="3"/>
  <c r="E24" i="6"/>
  <c r="K14" i="5"/>
  <c r="K14" i="3"/>
  <c r="K12" i="3"/>
  <c r="K12" i="5"/>
  <c r="E22" i="6"/>
  <c r="B49" i="6"/>
  <c r="D48" i="6"/>
  <c r="C48" i="6"/>
  <c r="E35" i="6"/>
  <c r="K25" i="5"/>
  <c r="K25" i="3"/>
  <c r="E34" i="6"/>
  <c r="K24" i="5"/>
  <c r="K24" i="3"/>
  <c r="E32" i="6"/>
  <c r="K22" i="5"/>
  <c r="K22" i="3"/>
  <c r="L21" i="3"/>
  <c r="L21" i="5"/>
  <c r="L20" i="3"/>
  <c r="L20" i="5"/>
  <c r="E23" i="6"/>
  <c r="K13" i="5"/>
  <c r="K13" i="3"/>
  <c r="L14" i="5"/>
  <c r="L14" i="3"/>
  <c r="G30" i="7"/>
  <c r="H30" i="7" s="1"/>
  <c r="F31" i="7"/>
  <c r="K35" i="5"/>
  <c r="K20" i="4"/>
  <c r="E45" i="6"/>
  <c r="G45" i="6" s="1"/>
  <c r="E37" i="6"/>
  <c r="K27" i="5"/>
  <c r="K12" i="4"/>
  <c r="L23" i="5"/>
  <c r="L23" i="3"/>
  <c r="L22" i="5"/>
  <c r="L22" i="3"/>
  <c r="E28" i="6"/>
  <c r="K18" i="3"/>
  <c r="K18" i="5"/>
  <c r="L15" i="5"/>
  <c r="L15" i="3"/>
  <c r="L13" i="3"/>
  <c r="L13" i="5"/>
  <c r="G41" i="6"/>
  <c r="E48" i="6" l="1"/>
  <c r="K38" i="5"/>
  <c r="K23" i="4"/>
  <c r="F48" i="6"/>
  <c r="L38" i="5"/>
  <c r="L23" i="4"/>
  <c r="D49" i="6"/>
  <c r="B50" i="6"/>
  <c r="C49" i="6"/>
  <c r="G47" i="6"/>
  <c r="G31" i="7"/>
  <c r="H31" i="7" s="1"/>
  <c r="F32" i="7"/>
  <c r="G48" i="6" l="1"/>
  <c r="B51" i="6"/>
  <c r="D50" i="6"/>
  <c r="C50" i="6"/>
  <c r="F49" i="6"/>
  <c r="L39" i="5"/>
  <c r="L24" i="4"/>
  <c r="F33" i="7"/>
  <c r="G32" i="7"/>
  <c r="H32" i="7" s="1"/>
  <c r="E49" i="6"/>
  <c r="K39" i="5"/>
  <c r="K24" i="4"/>
  <c r="E50" i="6" l="1"/>
  <c r="K25" i="4"/>
  <c r="K40" i="5"/>
  <c r="F50" i="6"/>
  <c r="L40" i="5"/>
  <c r="L25" i="4"/>
  <c r="D51" i="6"/>
  <c r="B52" i="6"/>
  <c r="C51" i="6"/>
  <c r="F34" i="7"/>
  <c r="G33" i="7"/>
  <c r="H33" i="7" s="1"/>
  <c r="G49" i="6"/>
  <c r="G50" i="6" l="1"/>
  <c r="D52" i="6"/>
  <c r="D55" i="6" s="1"/>
  <c r="C52" i="6"/>
  <c r="F51" i="6"/>
  <c r="L26" i="4"/>
  <c r="L41" i="5"/>
  <c r="G34" i="7"/>
  <c r="H34" i="7" s="1"/>
  <c r="F35" i="7"/>
  <c r="E51" i="6"/>
  <c r="K41" i="5"/>
  <c r="K26" i="4"/>
  <c r="G35" i="7" l="1"/>
  <c r="H35" i="7" s="1"/>
  <c r="F36" i="7"/>
  <c r="G51" i="6"/>
  <c r="E52" i="6"/>
  <c r="E55" i="6" s="1"/>
  <c r="K42" i="5"/>
  <c r="K27" i="4"/>
  <c r="C55" i="6"/>
  <c r="L42" i="5"/>
  <c r="L27" i="4"/>
  <c r="F52" i="6"/>
  <c r="G52" i="6" l="1"/>
  <c r="F37" i="7"/>
  <c r="G36" i="7"/>
  <c r="H36" i="7" s="1"/>
  <c r="F38" i="7" l="1"/>
  <c r="G37" i="7"/>
  <c r="H37" i="7" s="1"/>
  <c r="G38" i="7" l="1"/>
  <c r="H38" i="7" s="1"/>
  <c r="F39" i="7"/>
  <c r="G39" i="7" l="1"/>
  <c r="H39" i="7" s="1"/>
  <c r="F40" i="7"/>
  <c r="F41" i="7" l="1"/>
  <c r="G40" i="7"/>
  <c r="H40" i="7" s="1"/>
  <c r="F42" i="7" l="1"/>
  <c r="G41" i="7"/>
  <c r="H41" i="7" s="1"/>
  <c r="G42" i="7" l="1"/>
  <c r="H42" i="7" s="1"/>
  <c r="F43" i="7"/>
  <c r="G43" i="7" l="1"/>
  <c r="H43" i="7" s="1"/>
  <c r="F44" i="7"/>
  <c r="F45" i="7" l="1"/>
  <c r="G44" i="7"/>
  <c r="H44" i="7" s="1"/>
  <c r="F46" i="7" l="1"/>
  <c r="G45" i="7"/>
  <c r="G46" i="7" l="1"/>
  <c r="H46" i="7" s="1"/>
  <c r="F47" i="7"/>
  <c r="F48" i="7" l="1"/>
  <c r="G47" i="7"/>
  <c r="H47" i="7" s="1"/>
  <c r="F49" i="7" l="1"/>
  <c r="G48" i="7"/>
  <c r="H48" i="7" s="1"/>
  <c r="G49" i="7" l="1"/>
  <c r="H49" i="7" s="1"/>
  <c r="F50" i="7"/>
  <c r="G50" i="7" l="1"/>
  <c r="H50" i="7" s="1"/>
  <c r="F51" i="7"/>
  <c r="F52" i="7" l="1"/>
  <c r="G51" i="7"/>
  <c r="H51" i="7" s="1"/>
  <c r="F53" i="7" l="1"/>
  <c r="G52" i="7"/>
  <c r="H52" i="7" s="1"/>
  <c r="G53" i="7" l="1"/>
  <c r="H53" i="7" s="1"/>
  <c r="F54" i="7"/>
  <c r="G54" i="7" l="1"/>
  <c r="H54" i="7" s="1"/>
  <c r="F55" i="7"/>
  <c r="F56" i="7" l="1"/>
  <c r="G55" i="7"/>
  <c r="H55" i="7" s="1"/>
  <c r="F57" i="7" l="1"/>
  <c r="G56" i="7"/>
  <c r="H56" i="7" s="1"/>
  <c r="G57" i="7" l="1"/>
  <c r="H57" i="7" s="1"/>
  <c r="F58" i="7"/>
  <c r="F59" i="7" l="1"/>
  <c r="G58" i="7"/>
  <c r="F60" i="7" l="1"/>
  <c r="G59" i="7"/>
  <c r="H59" i="7" s="1"/>
  <c r="G60" i="7" l="1"/>
  <c r="H60" i="7" s="1"/>
  <c r="F61" i="7"/>
  <c r="G61" i="7" l="1"/>
  <c r="H61" i="7" s="1"/>
  <c r="F62" i="7"/>
  <c r="F63" i="7" l="1"/>
  <c r="G62" i="7"/>
  <c r="H62" i="7" s="1"/>
  <c r="F64" i="7" l="1"/>
  <c r="G63" i="7"/>
  <c r="H63" i="7" s="1"/>
  <c r="G64" i="7" l="1"/>
  <c r="H64" i="7" s="1"/>
  <c r="F65" i="7"/>
  <c r="G65" i="7" l="1"/>
  <c r="H65" i="7" s="1"/>
  <c r="F66" i="7"/>
  <c r="F67" i="7" l="1"/>
  <c r="G66" i="7"/>
  <c r="H66" i="7" s="1"/>
  <c r="F68" i="7" l="1"/>
  <c r="G67" i="7"/>
  <c r="H67" i="7" s="1"/>
  <c r="G68" i="7" l="1"/>
  <c r="H68" i="7" s="1"/>
  <c r="F69" i="7"/>
  <c r="G69" i="7" l="1"/>
  <c r="H69" i="7" s="1"/>
  <c r="F70" i="7"/>
  <c r="F71" i="7" l="1"/>
  <c r="G70" i="7"/>
  <c r="H70" i="7" s="1"/>
  <c r="F72" i="7" l="1"/>
  <c r="G71" i="7"/>
  <c r="H71" i="7" s="1"/>
  <c r="G72" i="7" l="1"/>
  <c r="H72" i="7" s="1"/>
  <c r="F73" i="7"/>
  <c r="G73" i="7" l="1"/>
  <c r="H73" i="7" s="1"/>
  <c r="F74" i="7"/>
  <c r="F75" i="7" l="1"/>
  <c r="G74" i="7"/>
  <c r="H74" i="7" s="1"/>
  <c r="F76" i="7" l="1"/>
  <c r="G75" i="7"/>
  <c r="H75" i="7" s="1"/>
  <c r="G76" i="7" l="1"/>
  <c r="H76" i="7" s="1"/>
  <c r="F77" i="7"/>
  <c r="G77" i="7" l="1"/>
  <c r="H77" i="7" s="1"/>
  <c r="F78" i="7"/>
  <c r="F79" i="7" l="1"/>
  <c r="G78" i="7"/>
  <c r="H78" i="7" s="1"/>
  <c r="F80" i="7" l="1"/>
  <c r="G79" i="7"/>
  <c r="H79" i="7" s="1"/>
  <c r="G80" i="7" l="1"/>
  <c r="H80" i="7" s="1"/>
  <c r="F81" i="7"/>
  <c r="G81" i="7" l="1"/>
  <c r="H81" i="7" s="1"/>
  <c r="F82" i="7"/>
  <c r="F83" i="7" l="1"/>
  <c r="G82" i="7"/>
  <c r="H82" i="7" s="1"/>
  <c r="F84" i="7" l="1"/>
  <c r="G83" i="7"/>
  <c r="H83" i="7" s="1"/>
  <c r="G84" i="7" l="1"/>
  <c r="H84" i="7" s="1"/>
  <c r="F85" i="7"/>
  <c r="G85" i="7" l="1"/>
  <c r="H85" i="7" s="1"/>
  <c r="F86" i="7"/>
  <c r="F87" i="7" l="1"/>
  <c r="G86" i="7"/>
  <c r="H86" i="7" s="1"/>
  <c r="F88" i="7" l="1"/>
  <c r="G87" i="7"/>
  <c r="H87" i="7" s="1"/>
  <c r="G88" i="7" l="1"/>
  <c r="H88" i="7" s="1"/>
  <c r="F89" i="7"/>
  <c r="G89" i="7" l="1"/>
  <c r="H89" i="7" s="1"/>
  <c r="F90" i="7"/>
  <c r="F91" i="7" l="1"/>
  <c r="G90" i="7"/>
  <c r="H90" i="7" s="1"/>
  <c r="F92" i="7" l="1"/>
  <c r="G91" i="7"/>
  <c r="H91" i="7" s="1"/>
  <c r="G92" i="7" l="1"/>
  <c r="H92" i="7" s="1"/>
  <c r="F93" i="7"/>
  <c r="F94" i="7" l="1"/>
  <c r="G93" i="7"/>
  <c r="F95" i="7" l="1"/>
  <c r="G94" i="7"/>
  <c r="F96" i="7" l="1"/>
  <c r="G95" i="7"/>
  <c r="F97" i="7" l="1"/>
  <c r="G96" i="7"/>
  <c r="H96" i="7" s="1"/>
  <c r="G97" i="7" l="1"/>
  <c r="H97" i="7" s="1"/>
  <c r="F98" i="7"/>
  <c r="G98" i="7" l="1"/>
  <c r="H98" i="7" s="1"/>
  <c r="F99" i="7"/>
  <c r="F100" i="7" l="1"/>
  <c r="G99" i="7"/>
  <c r="H99" i="7" s="1"/>
  <c r="F101" i="7" l="1"/>
  <c r="G100" i="7"/>
  <c r="H100" i="7" s="1"/>
  <c r="G101" i="7" l="1"/>
  <c r="F102" i="7"/>
  <c r="F103" i="7" l="1"/>
  <c r="G102" i="7"/>
  <c r="G103" i="7" l="1"/>
  <c r="H103" i="7" s="1"/>
  <c r="F104" i="7"/>
  <c r="G104" i="7" l="1"/>
  <c r="H104" i="7" s="1"/>
  <c r="F105" i="7"/>
  <c r="F106" i="7" l="1"/>
  <c r="G105" i="7"/>
  <c r="H105" i="7" s="1"/>
  <c r="F107" i="7" l="1"/>
  <c r="G106" i="7"/>
  <c r="H106" i="7" s="1"/>
  <c r="G107" i="7" l="1"/>
  <c r="H107" i="7" s="1"/>
  <c r="F108" i="7"/>
  <c r="G108" i="7" l="1"/>
  <c r="H108" i="7" s="1"/>
  <c r="F109" i="7"/>
  <c r="F110" i="7" l="1"/>
  <c r="G109" i="7"/>
  <c r="H109" i="7" s="1"/>
  <c r="F111" i="7" l="1"/>
  <c r="G110" i="7"/>
  <c r="H110" i="7" s="1"/>
  <c r="G111" i="7" l="1"/>
  <c r="H111" i="7" s="1"/>
  <c r="F112" i="7"/>
  <c r="G112" i="7" l="1"/>
  <c r="H112" i="7" s="1"/>
  <c r="F113" i="7"/>
  <c r="F114" i="7" l="1"/>
  <c r="G113" i="7"/>
  <c r="H113" i="7" s="1"/>
  <c r="F115" i="7" l="1"/>
  <c r="G114" i="7"/>
  <c r="H114" i="7" s="1"/>
  <c r="G115" i="7" l="1"/>
  <c r="H115" i="7" s="1"/>
  <c r="F116" i="7"/>
  <c r="G116" i="7" l="1"/>
  <c r="H116" i="7" s="1"/>
  <c r="F117" i="7"/>
  <c r="F118" i="7" l="1"/>
  <c r="G117" i="7"/>
  <c r="H117" i="7" s="1"/>
  <c r="F119" i="7" l="1"/>
  <c r="G118" i="7"/>
  <c r="H118" i="7" s="1"/>
  <c r="G119" i="7" l="1"/>
  <c r="H119" i="7" s="1"/>
  <c r="F120" i="7"/>
  <c r="G120" i="7" l="1"/>
  <c r="H120" i="7" s="1"/>
  <c r="F121" i="7"/>
  <c r="F122" i="7" l="1"/>
  <c r="G121" i="7"/>
  <c r="H121" i="7" s="1"/>
  <c r="F123" i="7" l="1"/>
  <c r="G122" i="7"/>
  <c r="H122" i="7" s="1"/>
  <c r="G123" i="7" l="1"/>
  <c r="F124" i="7"/>
  <c r="F125" i="7" l="1"/>
  <c r="G124" i="7"/>
  <c r="H124" i="7" s="1"/>
  <c r="F126" i="7" l="1"/>
  <c r="G125" i="7"/>
  <c r="H125" i="7" s="1"/>
  <c r="G126" i="7" l="1"/>
  <c r="H126" i="7" s="1"/>
  <c r="F127" i="7"/>
  <c r="G127" i="7" l="1"/>
  <c r="H127" i="7" s="1"/>
  <c r="F128" i="7"/>
  <c r="F129" i="7" l="1"/>
  <c r="G128" i="7"/>
  <c r="H128" i="7" s="1"/>
  <c r="F130" i="7" l="1"/>
  <c r="G129" i="7"/>
  <c r="H129" i="7" s="1"/>
  <c r="G130" i="7" l="1"/>
  <c r="H130" i="7" s="1"/>
  <c r="F131" i="7"/>
  <c r="G131" i="7" l="1"/>
  <c r="H131" i="7" s="1"/>
  <c r="F132" i="7"/>
  <c r="F133" i="7" l="1"/>
  <c r="G132" i="7"/>
  <c r="H132" i="7" s="1"/>
  <c r="F134" i="7" l="1"/>
  <c r="G133" i="7"/>
  <c r="H133" i="7" s="1"/>
  <c r="G134" i="7" l="1"/>
  <c r="H134" i="7" s="1"/>
  <c r="F135" i="7"/>
  <c r="G135" i="7" l="1"/>
  <c r="H135" i="7" s="1"/>
  <c r="F136" i="7"/>
  <c r="F137" i="7" l="1"/>
  <c r="G136" i="7"/>
  <c r="H136" i="7" s="1"/>
  <c r="F138" i="7" l="1"/>
  <c r="G137" i="7"/>
  <c r="H137" i="7" s="1"/>
  <c r="G138" i="7" l="1"/>
  <c r="H138" i="7" s="1"/>
  <c r="F139" i="7"/>
  <c r="G139" i="7" l="1"/>
  <c r="H139" i="7" s="1"/>
  <c r="F140" i="7"/>
  <c r="F141" i="7" l="1"/>
  <c r="G140" i="7"/>
  <c r="H140" i="7" s="1"/>
  <c r="F142" i="7" l="1"/>
  <c r="G141" i="7"/>
  <c r="H141" i="7" s="1"/>
  <c r="G142" i="7" l="1"/>
  <c r="H142" i="7" s="1"/>
  <c r="F143" i="7"/>
  <c r="G143" i="7" l="1"/>
  <c r="H143" i="7" s="1"/>
  <c r="F144" i="7"/>
  <c r="F145" i="7" l="1"/>
  <c r="G144" i="7"/>
  <c r="H144" i="7" s="1"/>
  <c r="F146" i="7" l="1"/>
  <c r="G145" i="7"/>
  <c r="H145" i="7" s="1"/>
  <c r="G146" i="7" l="1"/>
  <c r="H146" i="7" s="1"/>
  <c r="F147" i="7"/>
  <c r="G147" i="7" l="1"/>
  <c r="H147" i="7" s="1"/>
  <c r="F148" i="7"/>
  <c r="F149" i="7" l="1"/>
  <c r="G148" i="7"/>
  <c r="H148" i="7" s="1"/>
  <c r="F150" i="7" l="1"/>
  <c r="G149" i="7"/>
  <c r="H149" i="7" s="1"/>
  <c r="G150" i="7" l="1"/>
  <c r="H150" i="7" s="1"/>
  <c r="F151" i="7"/>
  <c r="G151" i="7" l="1"/>
  <c r="H151" i="7" s="1"/>
  <c r="F152" i="7"/>
  <c r="F153" i="7" l="1"/>
  <c r="G152" i="7"/>
  <c r="H152" i="7" s="1"/>
  <c r="F154" i="7" l="1"/>
  <c r="G153" i="7"/>
  <c r="H153" i="7" s="1"/>
  <c r="G154" i="7" l="1"/>
  <c r="H154" i="7" s="1"/>
  <c r="F155" i="7"/>
  <c r="G155" i="7" l="1"/>
  <c r="H155" i="7" s="1"/>
  <c r="F156" i="7"/>
  <c r="F157" i="7" l="1"/>
  <c r="G156" i="7"/>
  <c r="H156" i="7" s="1"/>
  <c r="F158" i="7" l="1"/>
  <c r="G157" i="7"/>
  <c r="H157" i="7" s="1"/>
  <c r="G158" i="7" l="1"/>
  <c r="H158" i="7" s="1"/>
  <c r="F159" i="7"/>
  <c r="G159" i="7" l="1"/>
  <c r="H159" i="7" s="1"/>
  <c r="F160" i="7"/>
  <c r="F161" i="7" l="1"/>
  <c r="G160" i="7"/>
  <c r="H160" i="7" s="1"/>
  <c r="F162" i="7" l="1"/>
  <c r="G161" i="7"/>
  <c r="H161" i="7" s="1"/>
  <c r="G162" i="7" l="1"/>
  <c r="H162" i="7" s="1"/>
  <c r="F163" i="7"/>
  <c r="G163" i="7" l="1"/>
  <c r="H163" i="7" s="1"/>
  <c r="F164" i="7"/>
  <c r="F165" i="7" l="1"/>
  <c r="G164" i="7"/>
  <c r="H164" i="7" s="1"/>
  <c r="F166" i="7" l="1"/>
  <c r="G165" i="7"/>
  <c r="G166" i="7" l="1"/>
  <c r="H166" i="7" s="1"/>
  <c r="F167" i="7"/>
  <c r="F168" i="7" l="1"/>
  <c r="G167" i="7"/>
  <c r="H167" i="7" s="1"/>
  <c r="F169" i="7" l="1"/>
  <c r="G168" i="7"/>
  <c r="H168" i="7" s="1"/>
  <c r="G169" i="7" l="1"/>
  <c r="H169" i="7" s="1"/>
  <c r="F170" i="7"/>
  <c r="G170" i="7" l="1"/>
  <c r="H170" i="7" s="1"/>
  <c r="F171" i="7"/>
  <c r="F172" i="7" l="1"/>
  <c r="G171" i="7"/>
  <c r="H171" i="7" s="1"/>
  <c r="F173" i="7" l="1"/>
  <c r="G172" i="7"/>
  <c r="H172" i="7" s="1"/>
  <c r="G173" i="7" l="1"/>
  <c r="H173" i="7" s="1"/>
  <c r="F174" i="7"/>
  <c r="G174" i="7" l="1"/>
  <c r="H174" i="7" s="1"/>
  <c r="F175" i="7"/>
  <c r="F176" i="7" l="1"/>
  <c r="G175" i="7"/>
  <c r="H175" i="7" s="1"/>
  <c r="F177" i="7" l="1"/>
  <c r="G176" i="7"/>
  <c r="H176" i="7" s="1"/>
  <c r="G177" i="7" l="1"/>
  <c r="H177" i="7" s="1"/>
  <c r="F178" i="7"/>
  <c r="G178" i="7" l="1"/>
  <c r="H178" i="7" s="1"/>
  <c r="F179" i="7"/>
  <c r="F180" i="7" l="1"/>
  <c r="G179" i="7"/>
  <c r="H179" i="7" s="1"/>
  <c r="F181" i="7" l="1"/>
  <c r="G180" i="7"/>
  <c r="H180" i="7" s="1"/>
  <c r="G181" i="7" l="1"/>
  <c r="H181" i="7" s="1"/>
  <c r="F182" i="7"/>
  <c r="G182" i="7" l="1"/>
  <c r="H182" i="7" s="1"/>
  <c r="F183" i="7"/>
  <c r="F184" i="7" l="1"/>
  <c r="G183" i="7"/>
  <c r="H183" i="7" s="1"/>
  <c r="F185" i="7" l="1"/>
  <c r="G184" i="7"/>
  <c r="H184" i="7" s="1"/>
  <c r="G185" i="7" l="1"/>
  <c r="H185" i="7" s="1"/>
  <c r="F186" i="7"/>
  <c r="G186" i="7" l="1"/>
  <c r="H186" i="7" s="1"/>
  <c r="F187" i="7"/>
  <c r="F188" i="7" l="1"/>
  <c r="G187" i="7"/>
  <c r="H187" i="7" s="1"/>
  <c r="F189" i="7" l="1"/>
  <c r="G188" i="7"/>
  <c r="H188" i="7" s="1"/>
  <c r="G189" i="7" l="1"/>
  <c r="H189" i="7" s="1"/>
  <c r="F190" i="7"/>
  <c r="G190" i="7" l="1"/>
  <c r="H190" i="7" s="1"/>
  <c r="F191" i="7"/>
  <c r="F192" i="7" l="1"/>
  <c r="G191" i="7"/>
  <c r="H191" i="7" s="1"/>
  <c r="F193" i="7" l="1"/>
  <c r="G192" i="7"/>
  <c r="H192" i="7" s="1"/>
  <c r="G193" i="7" l="1"/>
  <c r="H193" i="7" s="1"/>
  <c r="F194" i="7"/>
  <c r="G194" i="7" l="1"/>
  <c r="H194" i="7" s="1"/>
  <c r="F195" i="7"/>
  <c r="F196" i="7" l="1"/>
  <c r="G195" i="7"/>
  <c r="H195" i="7" s="1"/>
  <c r="F197" i="7" l="1"/>
  <c r="G196" i="7"/>
  <c r="H196" i="7" s="1"/>
  <c r="G197" i="7" l="1"/>
  <c r="H197" i="7" s="1"/>
  <c r="F198" i="7"/>
  <c r="G198" i="7" l="1"/>
  <c r="H198" i="7" s="1"/>
  <c r="F199" i="7"/>
  <c r="F200" i="7" l="1"/>
  <c r="G199" i="7"/>
  <c r="H199" i="7" s="1"/>
  <c r="F201" i="7" l="1"/>
  <c r="G200" i="7"/>
  <c r="H200" i="7" s="1"/>
  <c r="G201" i="7" l="1"/>
  <c r="H201" i="7" s="1"/>
  <c r="F202" i="7"/>
  <c r="G202" i="7" l="1"/>
  <c r="H202" i="7" s="1"/>
  <c r="F203" i="7"/>
  <c r="F204" i="7" l="1"/>
  <c r="G203" i="7"/>
  <c r="H203" i="7" s="1"/>
  <c r="F205" i="7" l="1"/>
  <c r="G204" i="7"/>
  <c r="H204" i="7" s="1"/>
  <c r="G205" i="7" l="1"/>
  <c r="H205" i="7" s="1"/>
  <c r="F206" i="7"/>
  <c r="G206" i="7" l="1"/>
  <c r="H206" i="7" s="1"/>
  <c r="F207" i="7"/>
  <c r="F208" i="7" l="1"/>
  <c r="G207" i="7"/>
  <c r="H207" i="7" s="1"/>
  <c r="F209" i="7" l="1"/>
  <c r="G208" i="7"/>
  <c r="H208" i="7" s="1"/>
  <c r="G209" i="7" l="1"/>
  <c r="H209" i="7" s="1"/>
  <c r="F210" i="7"/>
  <c r="G210" i="7" l="1"/>
  <c r="H210" i="7" s="1"/>
  <c r="F211" i="7"/>
  <c r="F212" i="7" l="1"/>
  <c r="G211" i="7"/>
  <c r="H211" i="7" s="1"/>
  <c r="F213" i="7" l="1"/>
  <c r="G212" i="7"/>
  <c r="H212" i="7" s="1"/>
  <c r="G213" i="7" l="1"/>
  <c r="H213" i="7" s="1"/>
  <c r="F214" i="7"/>
  <c r="G214" i="7" l="1"/>
  <c r="H214" i="7" s="1"/>
  <c r="F215" i="7"/>
  <c r="F216" i="7" l="1"/>
  <c r="G215" i="7"/>
  <c r="H215" i="7" s="1"/>
  <c r="F217" i="7" l="1"/>
  <c r="G216" i="7"/>
  <c r="H216" i="7" s="1"/>
  <c r="G217" i="7" l="1"/>
  <c r="H217" i="7" s="1"/>
  <c r="F218" i="7"/>
  <c r="G218" i="7" l="1"/>
  <c r="H218" i="7" s="1"/>
  <c r="F219" i="7"/>
  <c r="F220" i="7" l="1"/>
  <c r="G219" i="7"/>
  <c r="H219" i="7" s="1"/>
  <c r="F221" i="7" l="1"/>
  <c r="G220" i="7"/>
  <c r="H220" i="7" s="1"/>
  <c r="G221" i="7" l="1"/>
  <c r="H221" i="7" s="1"/>
  <c r="F222" i="7"/>
  <c r="G222" i="7" l="1"/>
  <c r="H222" i="7" s="1"/>
  <c r="F223" i="7"/>
  <c r="F224" i="7" l="1"/>
  <c r="G223" i="7"/>
  <c r="H223" i="7" s="1"/>
  <c r="F225" i="7" l="1"/>
  <c r="G224" i="7"/>
  <c r="H224" i="7" s="1"/>
  <c r="G225" i="7" l="1"/>
  <c r="H225" i="7" s="1"/>
  <c r="F226" i="7"/>
  <c r="G226" i="7" l="1"/>
  <c r="H226" i="7" s="1"/>
  <c r="F227" i="7"/>
  <c r="F228" i="7" l="1"/>
  <c r="G227" i="7"/>
  <c r="H227" i="7" s="1"/>
  <c r="F229" i="7" l="1"/>
  <c r="G228" i="7"/>
  <c r="H228" i="7" s="1"/>
  <c r="G229" i="7" l="1"/>
  <c r="H229" i="7" s="1"/>
  <c r="F230" i="7"/>
  <c r="G230" i="7" l="1"/>
  <c r="H230" i="7" s="1"/>
  <c r="F231" i="7"/>
  <c r="F232" i="7" l="1"/>
  <c r="G231" i="7"/>
  <c r="H231" i="7" s="1"/>
  <c r="F233" i="7" l="1"/>
  <c r="G232" i="7"/>
  <c r="H232" i="7" s="1"/>
  <c r="G233" i="7" l="1"/>
  <c r="H233" i="7" s="1"/>
  <c r="F234" i="7"/>
  <c r="G234" i="7" l="1"/>
  <c r="H234" i="7" s="1"/>
  <c r="F235" i="7"/>
  <c r="F236" i="7" l="1"/>
  <c r="G235" i="7"/>
  <c r="G236" i="7" l="1"/>
  <c r="H236" i="7" s="1"/>
  <c r="F237" i="7"/>
  <c r="G237" i="7" l="1"/>
  <c r="H237" i="7" s="1"/>
  <c r="F238" i="7"/>
  <c r="F239" i="7" l="1"/>
  <c r="G238" i="7"/>
  <c r="H238" i="7" s="1"/>
  <c r="F240" i="7" l="1"/>
  <c r="G239" i="7"/>
  <c r="H239" i="7" s="1"/>
  <c r="G240" i="7" l="1"/>
  <c r="H240" i="7" s="1"/>
  <c r="F241" i="7"/>
  <c r="G241" i="7" l="1"/>
  <c r="H241" i="7" s="1"/>
  <c r="F242" i="7"/>
  <c r="F243" i="7" l="1"/>
  <c r="G242" i="7"/>
  <c r="H242" i="7" s="1"/>
  <c r="F244" i="7" l="1"/>
  <c r="G243" i="7"/>
  <c r="H243" i="7" s="1"/>
  <c r="G244" i="7" l="1"/>
  <c r="F245" i="7"/>
  <c r="F246" i="7" l="1"/>
  <c r="G245" i="7"/>
  <c r="H245" i="7" s="1"/>
  <c r="F247" i="7" l="1"/>
  <c r="G246" i="7"/>
  <c r="H246" i="7" s="1"/>
  <c r="G247" i="7" l="1"/>
  <c r="H247" i="7" s="1"/>
  <c r="F248" i="7"/>
  <c r="G248" i="7" l="1"/>
  <c r="H248" i="7" s="1"/>
  <c r="F249" i="7"/>
  <c r="F250" i="7" l="1"/>
  <c r="G249" i="7"/>
  <c r="H249" i="7" s="1"/>
  <c r="F251" i="7" l="1"/>
  <c r="G250" i="7"/>
  <c r="H250" i="7" s="1"/>
  <c r="G251" i="7" l="1"/>
  <c r="H251" i="7" s="1"/>
  <c r="F252" i="7"/>
  <c r="G252" i="7" l="1"/>
  <c r="H252" i="7" s="1"/>
  <c r="F253" i="7"/>
  <c r="F254" i="7" l="1"/>
  <c r="G253" i="7"/>
  <c r="H253" i="7" s="1"/>
  <c r="F255" i="7" l="1"/>
  <c r="G254" i="7"/>
  <c r="H254" i="7" s="1"/>
  <c r="G255" i="7" l="1"/>
  <c r="H255" i="7" s="1"/>
  <c r="F256" i="7"/>
  <c r="G256" i="7" l="1"/>
  <c r="H256" i="7" s="1"/>
  <c r="F257" i="7"/>
  <c r="F258" i="7" l="1"/>
  <c r="G257" i="7"/>
  <c r="H257" i="7" s="1"/>
  <c r="F259" i="7" l="1"/>
  <c r="G258" i="7"/>
  <c r="H258" i="7" s="1"/>
  <c r="G259" i="7" l="1"/>
  <c r="H259" i="7" s="1"/>
  <c r="F260" i="7"/>
  <c r="G260" i="7" l="1"/>
  <c r="H260" i="7" s="1"/>
  <c r="F261" i="7"/>
  <c r="F262" i="7" l="1"/>
  <c r="G261" i="7"/>
  <c r="H261" i="7" s="1"/>
  <c r="F263" i="7" l="1"/>
  <c r="G262" i="7"/>
  <c r="H262" i="7" s="1"/>
  <c r="G263" i="7" l="1"/>
  <c r="H263" i="7" s="1"/>
  <c r="F264" i="7"/>
  <c r="G264" i="7" l="1"/>
  <c r="H264" i="7" s="1"/>
  <c r="F265" i="7"/>
  <c r="F266" i="7" l="1"/>
  <c r="G265" i="7"/>
  <c r="H265" i="7" s="1"/>
  <c r="F267" i="7" l="1"/>
  <c r="G266" i="7"/>
  <c r="H266" i="7" s="1"/>
  <c r="G267" i="7" l="1"/>
  <c r="H267" i="7" s="1"/>
  <c r="F268" i="7"/>
  <c r="G268" i="7" l="1"/>
  <c r="H268" i="7" s="1"/>
  <c r="F269" i="7"/>
  <c r="F270" i="7" l="1"/>
  <c r="G269" i="7"/>
  <c r="H269" i="7" s="1"/>
  <c r="F271" i="7" l="1"/>
  <c r="G270" i="7"/>
  <c r="H270" i="7" s="1"/>
  <c r="G271" i="7" l="1"/>
  <c r="H271" i="7" s="1"/>
  <c r="F272" i="7"/>
  <c r="G272" i="7" l="1"/>
  <c r="H272" i="7" s="1"/>
  <c r="F273" i="7"/>
  <c r="F274" i="7" l="1"/>
  <c r="G273" i="7"/>
  <c r="H273" i="7" s="1"/>
  <c r="F275" i="7" l="1"/>
  <c r="G274" i="7"/>
  <c r="H274" i="7" s="1"/>
  <c r="G275" i="7" l="1"/>
  <c r="H275" i="7" s="1"/>
  <c r="F276" i="7"/>
  <c r="G276" i="7" l="1"/>
  <c r="H276" i="7" s="1"/>
  <c r="F277" i="7"/>
  <c r="F278" i="7" l="1"/>
  <c r="G277" i="7"/>
  <c r="H277" i="7" s="1"/>
  <c r="F279" i="7" l="1"/>
  <c r="G278" i="7"/>
  <c r="H278" i="7" s="1"/>
  <c r="G279" i="7" l="1"/>
  <c r="H279" i="7" s="1"/>
  <c r="F280" i="7"/>
  <c r="G280" i="7" l="1"/>
  <c r="H280" i="7" s="1"/>
  <c r="F281" i="7"/>
  <c r="F282" i="7" l="1"/>
  <c r="G281" i="7"/>
  <c r="H281" i="7" s="1"/>
  <c r="F283" i="7" l="1"/>
  <c r="G282" i="7"/>
  <c r="H282" i="7" s="1"/>
  <c r="G283" i="7" l="1"/>
  <c r="H283" i="7" s="1"/>
  <c r="F284" i="7"/>
  <c r="G284" i="7" l="1"/>
  <c r="H284" i="7" s="1"/>
  <c r="F285" i="7"/>
  <c r="F286" i="7" l="1"/>
  <c r="G285" i="7"/>
  <c r="H285" i="7" s="1"/>
  <c r="F287" i="7" l="1"/>
  <c r="G286" i="7"/>
  <c r="H286" i="7" s="1"/>
  <c r="G287" i="7" l="1"/>
  <c r="H287" i="7" s="1"/>
  <c r="F288" i="7"/>
  <c r="G288" i="7" l="1"/>
  <c r="H288" i="7" s="1"/>
  <c r="F289" i="7"/>
  <c r="F290" i="7" l="1"/>
  <c r="G289" i="7"/>
  <c r="H289" i="7" s="1"/>
  <c r="F291" i="7" l="1"/>
  <c r="G290" i="7"/>
  <c r="H290" i="7" s="1"/>
  <c r="G291" i="7" l="1"/>
  <c r="H291" i="7" s="1"/>
  <c r="F292" i="7"/>
  <c r="G292" i="7" l="1"/>
  <c r="H292" i="7" s="1"/>
  <c r="F293" i="7"/>
  <c r="F294" i="7" l="1"/>
  <c r="G293" i="7"/>
  <c r="H293" i="7" s="1"/>
  <c r="F295" i="7" l="1"/>
  <c r="G294" i="7"/>
  <c r="H294" i="7" s="1"/>
  <c r="G295" i="7" l="1"/>
  <c r="H295" i="7" s="1"/>
  <c r="F296" i="7"/>
  <c r="G296" i="7" l="1"/>
  <c r="H296" i="7" s="1"/>
  <c r="F297" i="7"/>
  <c r="F298" i="7" l="1"/>
  <c r="G297" i="7"/>
  <c r="H297" i="7" s="1"/>
  <c r="F299" i="7" l="1"/>
  <c r="G298" i="7"/>
  <c r="H298" i="7" s="1"/>
  <c r="G299" i="7" l="1"/>
  <c r="H299" i="7" s="1"/>
  <c r="F300" i="7"/>
  <c r="G300" i="7" l="1"/>
  <c r="H300" i="7" s="1"/>
  <c r="F301" i="7"/>
  <c r="F302" i="7" l="1"/>
  <c r="G301" i="7"/>
  <c r="H301" i="7" s="1"/>
  <c r="F303" i="7" l="1"/>
  <c r="G302" i="7"/>
  <c r="H302" i="7" s="1"/>
  <c r="G303" i="7" l="1"/>
  <c r="H303" i="7" s="1"/>
  <c r="F304" i="7"/>
  <c r="G304" i="7" l="1"/>
  <c r="H304" i="7" s="1"/>
  <c r="F305" i="7"/>
  <c r="F306" i="7" l="1"/>
  <c r="G305" i="7"/>
  <c r="H305" i="7" s="1"/>
  <c r="F307" i="7" l="1"/>
  <c r="G306" i="7"/>
  <c r="H306" i="7" s="1"/>
  <c r="G307" i="7" l="1"/>
  <c r="F308" i="7"/>
  <c r="F309" i="7" l="1"/>
  <c r="G308" i="7"/>
  <c r="G309" i="7" l="1"/>
  <c r="H309" i="7" s="1"/>
  <c r="F310" i="7"/>
  <c r="G310" i="7" l="1"/>
  <c r="H310" i="7" s="1"/>
  <c r="F311" i="7"/>
  <c r="F312" i="7" l="1"/>
  <c r="G311" i="7"/>
  <c r="H311" i="7" s="1"/>
  <c r="F313" i="7" l="1"/>
  <c r="G312" i="7"/>
  <c r="H312" i="7" s="1"/>
  <c r="G313" i="7" l="1"/>
  <c r="H313" i="7" s="1"/>
  <c r="F314" i="7"/>
  <c r="G314" i="7" l="1"/>
  <c r="H314" i="7" s="1"/>
  <c r="F315" i="7"/>
  <c r="F316" i="7" l="1"/>
  <c r="G315" i="7"/>
  <c r="H315" i="7" s="1"/>
  <c r="F317" i="7" l="1"/>
  <c r="G316" i="7"/>
  <c r="H316" i="7" s="1"/>
  <c r="G317" i="7" l="1"/>
  <c r="H317" i="7" s="1"/>
  <c r="F318" i="7"/>
  <c r="G318" i="7" l="1"/>
  <c r="H318" i="7" s="1"/>
  <c r="F319" i="7"/>
  <c r="F320" i="7" l="1"/>
  <c r="G319" i="7"/>
  <c r="H319" i="7" s="1"/>
  <c r="F321" i="7" l="1"/>
  <c r="G320" i="7"/>
  <c r="H320" i="7" s="1"/>
  <c r="G321" i="7" l="1"/>
  <c r="H321" i="7" s="1"/>
  <c r="F322" i="7"/>
  <c r="G322" i="7" l="1"/>
  <c r="H322" i="7" s="1"/>
  <c r="F323" i="7"/>
  <c r="F324" i="7" l="1"/>
  <c r="G323" i="7"/>
  <c r="H323" i="7" s="1"/>
  <c r="F325" i="7" l="1"/>
  <c r="G324" i="7"/>
  <c r="H324" i="7" s="1"/>
  <c r="G325" i="7" l="1"/>
  <c r="H325" i="7" s="1"/>
  <c r="F326" i="7"/>
  <c r="G326" i="7" l="1"/>
  <c r="H326" i="7" s="1"/>
  <c r="F327" i="7"/>
  <c r="F328" i="7" l="1"/>
  <c r="G327" i="7"/>
  <c r="H327" i="7" s="1"/>
  <c r="F329" i="7" l="1"/>
  <c r="G328" i="7"/>
  <c r="H328" i="7" s="1"/>
  <c r="G329" i="7" l="1"/>
  <c r="H329" i="7" s="1"/>
  <c r="F330" i="7"/>
  <c r="F331" i="7" l="1"/>
  <c r="G330" i="7"/>
  <c r="H330" i="7" s="1"/>
  <c r="G331" i="7" l="1"/>
  <c r="H331" i="7" s="1"/>
  <c r="F332" i="7"/>
  <c r="G332" i="7" l="1"/>
  <c r="H332" i="7" s="1"/>
  <c r="F333" i="7"/>
  <c r="F334" i="7" l="1"/>
  <c r="G333" i="7"/>
  <c r="H333" i="7" s="1"/>
  <c r="F335" i="7" l="1"/>
  <c r="G334" i="7"/>
  <c r="H334" i="7" s="1"/>
  <c r="G335" i="7" l="1"/>
  <c r="H335" i="7" s="1"/>
  <c r="F336" i="7"/>
  <c r="F337" i="7" l="1"/>
  <c r="G336" i="7"/>
  <c r="F338" i="7" l="1"/>
  <c r="G337" i="7"/>
  <c r="H337" i="7" s="1"/>
  <c r="G338" i="7" l="1"/>
  <c r="H338" i="7" s="1"/>
  <c r="F339" i="7"/>
  <c r="F340" i="7" l="1"/>
  <c r="G339" i="7"/>
  <c r="H339" i="7" s="1"/>
  <c r="F341" i="7" l="1"/>
  <c r="G340" i="7"/>
  <c r="H340" i="7" s="1"/>
  <c r="G341" i="7" l="1"/>
  <c r="H341" i="7" s="1"/>
  <c r="F342" i="7"/>
  <c r="G342" i="7" l="1"/>
  <c r="H342" i="7" s="1"/>
  <c r="F343" i="7"/>
  <c r="F344" i="7" l="1"/>
  <c r="G343" i="7"/>
  <c r="H343" i="7" s="1"/>
  <c r="F345" i="7" l="1"/>
  <c r="G344" i="7"/>
  <c r="G345" i="7" l="1"/>
  <c r="H345" i="7" s="1"/>
  <c r="F346" i="7"/>
  <c r="F347" i="7" l="1"/>
  <c r="G346" i="7"/>
  <c r="H346" i="7" s="1"/>
  <c r="F348" i="7" l="1"/>
  <c r="G347" i="7"/>
  <c r="H347" i="7" s="1"/>
  <c r="G348" i="7" l="1"/>
  <c r="H348" i="7" s="1"/>
  <c r="F349" i="7"/>
  <c r="G349" i="7" l="1"/>
  <c r="H349" i="7" s="1"/>
  <c r="F350" i="7"/>
  <c r="F351" i="7" l="1"/>
  <c r="G350" i="7"/>
  <c r="H350" i="7" s="1"/>
  <c r="F352" i="7" l="1"/>
  <c r="G351" i="7"/>
  <c r="H351" i="7" s="1"/>
  <c r="G352" i="7" l="1"/>
  <c r="H352" i="7" s="1"/>
  <c r="F353" i="7"/>
  <c r="G353" i="7" l="1"/>
  <c r="H353" i="7" s="1"/>
  <c r="F354" i="7"/>
  <c r="F355" i="7" l="1"/>
  <c r="G354" i="7"/>
  <c r="H354" i="7" s="1"/>
  <c r="F356" i="7" l="1"/>
  <c r="G355" i="7"/>
  <c r="H355" i="7" s="1"/>
  <c r="G356" i="7" l="1"/>
  <c r="H356" i="7" s="1"/>
  <c r="F357" i="7"/>
  <c r="G357" i="7" l="1"/>
  <c r="H357" i="7" s="1"/>
  <c r="F358" i="7"/>
  <c r="F359" i="7" l="1"/>
  <c r="G358" i="7"/>
  <c r="H358" i="7" s="1"/>
  <c r="F360" i="7" l="1"/>
  <c r="G359" i="7"/>
  <c r="H359" i="7" s="1"/>
  <c r="G360" i="7" l="1"/>
  <c r="F361" i="7"/>
  <c r="F362" i="7" l="1"/>
  <c r="G361" i="7"/>
  <c r="G362" i="7" l="1"/>
  <c r="H362" i="7" s="1"/>
  <c r="F363" i="7"/>
  <c r="G363" i="7" l="1"/>
  <c r="H363" i="7" s="1"/>
  <c r="F364" i="7"/>
  <c r="F365" i="7" l="1"/>
  <c r="G364" i="7"/>
  <c r="H364" i="7" s="1"/>
  <c r="F366" i="7" l="1"/>
  <c r="G365" i="7"/>
  <c r="H365" i="7" s="1"/>
  <c r="G366" i="7" l="1"/>
  <c r="F367" i="7"/>
  <c r="G367" i="7" s="1"/>
  <c r="Z13" i="3" l="1"/>
  <c r="AE13" i="3" s="1"/>
  <c r="AF13" i="3" s="1"/>
  <c r="Z12" i="3"/>
  <c r="AE12" i="3" s="1"/>
  <c r="AF12" i="3" s="1"/>
  <c r="Z14" i="2"/>
  <c r="Y14" i="2" s="1"/>
  <c r="X14" i="2" s="1"/>
  <c r="Z12" i="4"/>
  <c r="AE12" i="4" s="1"/>
  <c r="AF12" i="4" s="1"/>
  <c r="T22" i="6"/>
  <c r="S22" i="6" s="1"/>
  <c r="F22" i="6" s="1"/>
  <c r="Z15" i="3"/>
  <c r="AE15" i="3" s="1"/>
  <c r="AF15" i="3" s="1"/>
  <c r="Z12" i="2"/>
  <c r="Y12" i="2" s="1"/>
  <c r="X12" i="2" s="1"/>
  <c r="Z25" i="4"/>
  <c r="AE25" i="4" s="1"/>
  <c r="AF25" i="4" s="1"/>
  <c r="Z27" i="4"/>
  <c r="AE27" i="4" s="1"/>
  <c r="AF27" i="4" s="1"/>
  <c r="Z14" i="3"/>
  <c r="AE14" i="3" s="1"/>
  <c r="AF14" i="3" s="1"/>
  <c r="T24" i="6"/>
  <c r="S24" i="6" s="1"/>
  <c r="F24" i="6" s="1"/>
  <c r="G24" i="6" s="1"/>
  <c r="Z14" i="4"/>
  <c r="AE14" i="4" s="1"/>
  <c r="AF14" i="4" s="1"/>
  <c r="Z17" i="3"/>
  <c r="AE17" i="3" s="1"/>
  <c r="AF17" i="3" s="1"/>
  <c r="Z13" i="2"/>
  <c r="Y13" i="2" s="1"/>
  <c r="X13" i="2" s="1"/>
  <c r="Z15" i="2"/>
  <c r="Y15" i="2" s="1"/>
  <c r="X15" i="2" s="1"/>
  <c r="T23" i="6"/>
  <c r="S23" i="6" s="1"/>
  <c r="F23" i="6" s="1"/>
  <c r="G23" i="6" s="1"/>
  <c r="Z18" i="4"/>
  <c r="AE18" i="4" s="1"/>
  <c r="AF18" i="4" s="1"/>
  <c r="Z26" i="4"/>
  <c r="AE26" i="4" s="1"/>
  <c r="AF26" i="4" s="1"/>
  <c r="Z13" i="4"/>
  <c r="AE13" i="4" s="1"/>
  <c r="AF13" i="4" s="1"/>
  <c r="Z16" i="2"/>
  <c r="Y16" i="2" s="1"/>
  <c r="X16" i="2" s="1"/>
  <c r="Z16" i="3"/>
  <c r="AE16" i="3" s="1"/>
  <c r="AF16" i="3" s="1"/>
  <c r="Z18" i="3"/>
  <c r="AE18" i="3" s="1"/>
  <c r="AF18" i="3" s="1"/>
  <c r="Z21" i="3"/>
  <c r="AE21" i="3" s="1"/>
  <c r="AF21" i="3" s="1"/>
  <c r="Z15" i="4"/>
  <c r="AE15" i="4" s="1"/>
  <c r="AF15" i="4" s="1"/>
  <c r="Z20" i="2"/>
  <c r="Y20" i="2" s="1"/>
  <c r="X20" i="2" s="1"/>
  <c r="Z17" i="2"/>
  <c r="Y17" i="2" s="1"/>
  <c r="X17" i="2" s="1"/>
  <c r="T28" i="6"/>
  <c r="S28" i="6" s="1"/>
  <c r="F28" i="6" s="1"/>
  <c r="G28" i="6" s="1"/>
  <c r="T25" i="6"/>
  <c r="S25" i="6" s="1"/>
  <c r="F25" i="6" s="1"/>
  <c r="G25" i="6" s="1"/>
  <c r="Z16" i="4"/>
  <c r="AE16" i="4" s="1"/>
  <c r="AF16" i="4" s="1"/>
  <c r="Z19" i="3"/>
  <c r="AE19" i="3" s="1"/>
  <c r="AF19" i="3" s="1"/>
  <c r="T26" i="6"/>
  <c r="S26" i="6" s="1"/>
  <c r="F26" i="6" s="1"/>
  <c r="G26" i="6" s="1"/>
  <c r="Z20" i="3"/>
  <c r="AE20" i="3" s="1"/>
  <c r="AF20" i="3" s="1"/>
  <c r="Z18" i="2"/>
  <c r="Y18" i="2" s="1"/>
  <c r="X18" i="2" s="1"/>
  <c r="Z17" i="4"/>
  <c r="AE17" i="4" s="1"/>
  <c r="AF17" i="4" s="1"/>
  <c r="Z19" i="4"/>
  <c r="AE19" i="4" s="1"/>
  <c r="AF19" i="4" s="1"/>
  <c r="T27" i="6"/>
  <c r="S27" i="6" s="1"/>
  <c r="F27" i="6" s="1"/>
  <c r="G27" i="6" s="1"/>
  <c r="Z19" i="2"/>
  <c r="Y19" i="2" s="1"/>
  <c r="X19" i="2" s="1"/>
  <c r="Z22" i="2"/>
  <c r="Y22" i="2" s="1"/>
  <c r="X22" i="2" s="1"/>
  <c r="Z20" i="4"/>
  <c r="AE20" i="4" s="1"/>
  <c r="AF20" i="4" s="1"/>
  <c r="Z22" i="3"/>
  <c r="AE22" i="3" s="1"/>
  <c r="AF22" i="3" s="1"/>
  <c r="T29" i="6"/>
  <c r="S29" i="6" s="1"/>
  <c r="F29" i="6" s="1"/>
  <c r="G29" i="6" s="1"/>
  <c r="T30" i="6"/>
  <c r="S30" i="6" s="1"/>
  <c r="F30" i="6" s="1"/>
  <c r="G30" i="6" s="1"/>
  <c r="Z21" i="2"/>
  <c r="Y21" i="2" s="1"/>
  <c r="X21" i="2" s="1"/>
  <c r="Z23" i="3"/>
  <c r="AE23" i="3" s="1"/>
  <c r="AF23" i="3" s="1"/>
  <c r="Z23" i="2"/>
  <c r="Y23" i="2" s="1"/>
  <c r="X23" i="2" s="1"/>
  <c r="Z21" i="4"/>
  <c r="AE21" i="4" s="1"/>
  <c r="AF21" i="4" s="1"/>
  <c r="Z25" i="3"/>
  <c r="AE25" i="3" s="1"/>
  <c r="AF25" i="3" s="1"/>
  <c r="T33" i="6"/>
  <c r="S33" i="6" s="1"/>
  <c r="F33" i="6" s="1"/>
  <c r="G33" i="6" s="1"/>
  <c r="Z24" i="3"/>
  <c r="AE24" i="3" s="1"/>
  <c r="AF24" i="3" s="1"/>
  <c r="Z26" i="3"/>
  <c r="AE26" i="3" s="1"/>
  <c r="AF26" i="3" s="1"/>
  <c r="Z22" i="4"/>
  <c r="AE22" i="4" s="1"/>
  <c r="AF22" i="4" s="1"/>
  <c r="T35" i="6"/>
  <c r="S35" i="6" s="1"/>
  <c r="F35" i="6" s="1"/>
  <c r="G35" i="6" s="1"/>
  <c r="T31" i="6"/>
  <c r="S31" i="6" s="1"/>
  <c r="F31" i="6" s="1"/>
  <c r="G31" i="6" s="1"/>
  <c r="Z23" i="4"/>
  <c r="AE23" i="4" s="1"/>
  <c r="AF23" i="4" s="1"/>
  <c r="Z25" i="2"/>
  <c r="Y25" i="2" s="1"/>
  <c r="X25" i="2" s="1"/>
  <c r="T34" i="6"/>
  <c r="S34" i="6" s="1"/>
  <c r="F34" i="6" s="1"/>
  <c r="G34" i="6" s="1"/>
  <c r="T32" i="6"/>
  <c r="S32" i="6" s="1"/>
  <c r="F32" i="6" s="1"/>
  <c r="G32" i="6" s="1"/>
  <c r="Z24" i="2"/>
  <c r="Y24" i="2" s="1"/>
  <c r="X24" i="2" s="1"/>
  <c r="T37" i="6"/>
  <c r="S37" i="6" s="1"/>
  <c r="F37" i="6" s="1"/>
  <c r="G37" i="6" s="1"/>
  <c r="Z24" i="4"/>
  <c r="AE24" i="4" s="1"/>
  <c r="AF24" i="4" s="1"/>
  <c r="T36" i="6"/>
  <c r="S36" i="6" s="1"/>
  <c r="F36" i="6" s="1"/>
  <c r="G36" i="6" s="1"/>
  <c r="Z26" i="2"/>
  <c r="Y26" i="2" s="1"/>
  <c r="X26" i="2" s="1"/>
  <c r="L6" i="6" l="1"/>
  <c r="G22" i="6"/>
  <c r="G55" i="6" s="1"/>
  <c r="F55" i="6"/>
  <c r="L7" i="6"/>
  <c r="L8" i="6"/>
  <c r="L9" i="6"/>
  <c r="L11" i="6"/>
  <c r="L10" i="6"/>
  <c r="L12" i="6"/>
  <c r="L13" i="6"/>
  <c r="L14" i="6"/>
  <c r="L15" i="6"/>
  <c r="L16" i="6"/>
  <c r="L17" i="6"/>
  <c r="L18" i="6" l="1"/>
</calcChain>
</file>

<file path=xl/sharedStrings.xml><?xml version="1.0" encoding="utf-8"?>
<sst xmlns="http://schemas.openxmlformats.org/spreadsheetml/2006/main" count="467" uniqueCount="252">
  <si>
    <t>Instructions:</t>
  </si>
  <si>
    <r>
      <rPr>
        <sz val="11"/>
        <color theme="1"/>
        <rFont val="Calibri"/>
      </rPr>
      <t xml:space="preserve">In </t>
    </r>
    <r>
      <rPr>
        <b/>
        <sz val="11"/>
        <color rgb="FF0000FF"/>
        <rFont val="Calibri"/>
      </rPr>
      <t>Daily Accomplishment Report</t>
    </r>
    <r>
      <rPr>
        <sz val="11"/>
        <color theme="1"/>
        <rFont val="Calibri"/>
      </rPr>
      <t xml:space="preserve"> worksheet, provide the following data:</t>
    </r>
  </si>
  <si>
    <t>Name</t>
  </si>
  <si>
    <t>Provider (ex.: SLI, Radix)</t>
  </si>
  <si>
    <t>Team Lead</t>
  </si>
  <si>
    <t>Section/Unit</t>
  </si>
  <si>
    <t>Payroll Perion (To/From)</t>
  </si>
  <si>
    <t>Date(MM/DD/YY)</t>
  </si>
  <si>
    <r>
      <rPr>
        <i/>
        <sz val="11"/>
        <color theme="1"/>
        <rFont val="Calibri"/>
      </rPr>
      <t xml:space="preserve">Number of Hrs (Regular / </t>
    </r>
    <r>
      <rPr>
        <b/>
        <i/>
        <sz val="11"/>
        <color rgb="FFE36C09"/>
        <rFont val="Calibri"/>
      </rPr>
      <t>OT</t>
    </r>
    <r>
      <rPr>
        <i/>
        <sz val="11"/>
        <color theme="1"/>
        <rFont val="Calibri"/>
      </rPr>
      <t>)</t>
    </r>
  </si>
  <si>
    <t>-Saturday, Sunday, Night Differential, Special Holiday(weekdays/Saturday/Sunday), Legal Holiday(weekedays/Saturday/Sunday)</t>
  </si>
  <si>
    <t>Cost Center</t>
  </si>
  <si>
    <t>Activity Type</t>
  </si>
  <si>
    <t>SIR</t>
  </si>
  <si>
    <t>Description</t>
  </si>
  <si>
    <r>
      <rPr>
        <sz val="11"/>
        <color theme="1"/>
        <rFont val="Calibri"/>
      </rPr>
      <t xml:space="preserve">In </t>
    </r>
    <r>
      <rPr>
        <b/>
        <sz val="11"/>
        <color rgb="FF0000FF"/>
        <rFont val="Calibri"/>
      </rPr>
      <t>Attendance Report*</t>
    </r>
    <r>
      <rPr>
        <sz val="11"/>
        <color theme="1"/>
        <rFont val="Calibri"/>
      </rPr>
      <t xml:space="preserve"> worksheet, provide the following data:</t>
    </r>
  </si>
  <si>
    <t>Position</t>
  </si>
  <si>
    <r>
      <rPr>
        <i/>
        <sz val="11"/>
        <color theme="1"/>
        <rFont val="Calibri"/>
      </rPr>
      <t xml:space="preserve">Time-In/Time-Out in </t>
    </r>
    <r>
      <rPr>
        <b/>
        <i/>
        <sz val="11"/>
        <color rgb="FF000000"/>
        <rFont val="Calibri"/>
      </rPr>
      <t>Regulars</t>
    </r>
    <r>
      <rPr>
        <i/>
        <sz val="11"/>
        <color rgb="FF000000"/>
        <rFont val="Calibri"/>
      </rPr>
      <t xml:space="preserve"> (HH:MM) - required format is Military Time</t>
    </r>
  </si>
  <si>
    <r>
      <rPr>
        <i/>
        <sz val="11"/>
        <color theme="1"/>
        <rFont val="Calibri"/>
      </rPr>
      <t xml:space="preserve">Time-In/Time-Out in </t>
    </r>
    <r>
      <rPr>
        <b/>
        <i/>
        <sz val="11"/>
        <color rgb="FF000000"/>
        <rFont val="Calibri"/>
      </rPr>
      <t xml:space="preserve">Overtime </t>
    </r>
    <r>
      <rPr>
        <i/>
        <sz val="11"/>
        <color rgb="FF000000"/>
        <rFont val="Calibri"/>
      </rPr>
      <t>(HH:MM) - required format is Military Time</t>
    </r>
  </si>
  <si>
    <r>
      <rPr>
        <b/>
        <i/>
        <sz val="11"/>
        <color rgb="FF000000"/>
        <rFont val="Calibri"/>
      </rPr>
      <t>Other data</t>
    </r>
    <r>
      <rPr>
        <i/>
        <sz val="11"/>
        <color rgb="FF000000"/>
        <rFont val="Calibri"/>
      </rPr>
      <t xml:space="preserve"> are automatically populated or updated based on the value in Daily Accomplishment Report worksheet</t>
    </r>
  </si>
  <si>
    <t>Legend:</t>
  </si>
  <si>
    <t>Weekdays</t>
  </si>
  <si>
    <t>Sunday</t>
  </si>
  <si>
    <t>Saturday</t>
  </si>
  <si>
    <t>Special Holidays (Mon-Sat)</t>
  </si>
  <si>
    <t>Beyond SH (Mon-Sat)</t>
  </si>
  <si>
    <t>Special Holidays(Sun)</t>
  </si>
  <si>
    <t>Beyond SH (Sun)</t>
  </si>
  <si>
    <t>Legal Holidays (Mon-Sat)</t>
  </si>
  <si>
    <t>Beyond LH (Mon-Sat)</t>
  </si>
  <si>
    <t>Legal Holidays(Sun)</t>
  </si>
  <si>
    <t>Beyond LH (Sun)</t>
  </si>
  <si>
    <t>Night Shift</t>
  </si>
  <si>
    <t>DAILY TIME RECORD</t>
  </si>
  <si>
    <t>Name                          :</t>
  </si>
  <si>
    <t>Provider                     :</t>
  </si>
  <si>
    <t>RADIX</t>
  </si>
  <si>
    <t>Project Manager     :</t>
  </si>
  <si>
    <t>Section/Unit            :</t>
  </si>
  <si>
    <t>BD1</t>
  </si>
  <si>
    <t>Payroll Period         :</t>
  </si>
  <si>
    <t>From</t>
  </si>
  <si>
    <t>To</t>
  </si>
  <si>
    <t>Date</t>
  </si>
  <si>
    <t>Number of Hours</t>
  </si>
  <si>
    <t>Saturday (OT)</t>
  </si>
  <si>
    <t>Saturday (OT&gt;8)</t>
  </si>
  <si>
    <t>Sunday (OT)</t>
  </si>
  <si>
    <t>Sunday (OT&gt;8)</t>
  </si>
  <si>
    <r>
      <rPr>
        <b/>
        <sz val="11"/>
        <color theme="1"/>
        <rFont val="Calibri"/>
      </rPr>
      <t>Night Diff</t>
    </r>
    <r>
      <rPr>
        <b/>
        <sz val="8"/>
        <color theme="1"/>
        <rFont val="Calibri"/>
      </rPr>
      <t xml:space="preserve"> (10PM - 6 AM)</t>
    </r>
  </si>
  <si>
    <t>Special Holiday (&lt;=8)</t>
  </si>
  <si>
    <t>Special Holiday (&gt;8)</t>
  </si>
  <si>
    <t>Special Holiday (Sunday &lt;=8)</t>
  </si>
  <si>
    <t>Special Holiday (Sunday &gt; 8)</t>
  </si>
  <si>
    <t>Legal Holiday (&lt;=8)</t>
  </si>
  <si>
    <t>Legal Holiday (&gt;8)</t>
  </si>
  <si>
    <r>
      <rPr>
        <b/>
        <sz val="9"/>
        <color theme="1"/>
        <rFont val="Calibri"/>
      </rPr>
      <t xml:space="preserve">Legal Holiday </t>
    </r>
    <r>
      <rPr>
        <b/>
        <sz val="8"/>
        <color theme="1"/>
        <rFont val="Calibri"/>
      </rPr>
      <t>(Sunday &lt;=8)</t>
    </r>
  </si>
  <si>
    <r>
      <rPr>
        <b/>
        <sz val="9"/>
        <color theme="1"/>
        <rFont val="Calibri"/>
      </rPr>
      <t xml:space="preserve">Legal Holiday </t>
    </r>
    <r>
      <rPr>
        <b/>
        <sz val="8"/>
        <color theme="1"/>
        <rFont val="Calibri"/>
      </rPr>
      <t>(Sunday &gt; 8)</t>
    </r>
  </si>
  <si>
    <t>Budget To Be Drawn Form</t>
  </si>
  <si>
    <t>Regular (OT &gt; 8)</t>
  </si>
  <si>
    <r>
      <rPr>
        <b/>
        <sz val="11"/>
        <color theme="1"/>
        <rFont val="Calibri"/>
      </rPr>
      <t>Night Diff</t>
    </r>
    <r>
      <rPr>
        <b/>
        <sz val="8"/>
        <color theme="1"/>
        <rFont val="Calibri"/>
      </rPr>
      <t xml:space="preserve"> (10PM - 6 AM)</t>
    </r>
  </si>
  <si>
    <r>
      <rPr>
        <b/>
        <sz val="9"/>
        <color theme="1"/>
        <rFont val="Calibri"/>
      </rPr>
      <t xml:space="preserve">Legal Holiday </t>
    </r>
    <r>
      <rPr>
        <b/>
        <sz val="8"/>
        <color theme="1"/>
        <rFont val="Calibri"/>
      </rPr>
      <t>(Sunday &lt;=8)</t>
    </r>
  </si>
  <si>
    <r>
      <rPr>
        <b/>
        <sz val="9"/>
        <color theme="1"/>
        <rFont val="Calibri"/>
      </rPr>
      <t xml:space="preserve">Legal Holiday </t>
    </r>
    <r>
      <rPr>
        <b/>
        <sz val="8"/>
        <color theme="1"/>
        <rFont val="Calibri"/>
      </rPr>
      <t>(Sunday &gt; 8)</t>
    </r>
  </si>
  <si>
    <t>Total Hours</t>
  </si>
  <si>
    <t>Regular</t>
  </si>
  <si>
    <t>OT &gt; 8</t>
  </si>
  <si>
    <t>OT(%)</t>
  </si>
  <si>
    <t>interest</t>
  </si>
  <si>
    <t>day num</t>
  </si>
  <si>
    <t>OP - IT</t>
  </si>
  <si>
    <t>Total</t>
  </si>
  <si>
    <t>Group Human Capital</t>
  </si>
  <si>
    <t>OP - Audit</t>
  </si>
  <si>
    <t>OP - Risk Mgmnt</t>
  </si>
  <si>
    <t>OP - Credit Mgmnt</t>
  </si>
  <si>
    <t>RBG - BE</t>
  </si>
  <si>
    <t>RBG - QA</t>
  </si>
  <si>
    <t>RBG - Business Dev</t>
  </si>
  <si>
    <t>RBG - VB</t>
  </si>
  <si>
    <t>RBG - Auto</t>
  </si>
  <si>
    <t>RBG - Mortgage</t>
  </si>
  <si>
    <t>RBG - LAD(P/S)</t>
  </si>
  <si>
    <t>RBG - Cards</t>
  </si>
  <si>
    <t>IAM - Global</t>
  </si>
  <si>
    <t>IAM - Trust</t>
  </si>
  <si>
    <t>COG - GMOS</t>
  </si>
  <si>
    <t>COG - BPM</t>
  </si>
  <si>
    <t>COG - ATM</t>
  </si>
  <si>
    <t>COG - CMS</t>
  </si>
  <si>
    <t>COG - Clearing</t>
  </si>
  <si>
    <t>COG - LAD</t>
  </si>
  <si>
    <t>COG - Remedial</t>
  </si>
  <si>
    <t>COG - Remittance</t>
  </si>
  <si>
    <t>COG - Trade</t>
  </si>
  <si>
    <t>Services - Accntg</t>
  </si>
  <si>
    <t>Services - PAP</t>
  </si>
  <si>
    <t>Services - Recon</t>
  </si>
  <si>
    <t>Philmay</t>
  </si>
  <si>
    <t>GB - Commercial</t>
  </si>
  <si>
    <t>GB - Tbanking</t>
  </si>
  <si>
    <t>GB - CMS</t>
  </si>
  <si>
    <t>GB - REF</t>
  </si>
  <si>
    <t xml:space="preserve">Name                          </t>
  </si>
  <si>
    <t xml:space="preserve">Shift Schedule        </t>
  </si>
  <si>
    <t xml:space="preserve">Client                         </t>
  </si>
  <si>
    <t>Maybank Phil. Inc.</t>
  </si>
  <si>
    <t xml:space="preserve">Payroll Period  </t>
  </si>
  <si>
    <t>Regular Hrs</t>
  </si>
  <si>
    <t>Overtime</t>
  </si>
  <si>
    <t>Total Hrs</t>
  </si>
  <si>
    <t>Remarks</t>
  </si>
  <si>
    <t>In</t>
  </si>
  <si>
    <t>Out</t>
  </si>
  <si>
    <t>OT</t>
  </si>
  <si>
    <t>Night Diff</t>
  </si>
  <si>
    <t>OTs</t>
  </si>
  <si>
    <t>Int(%)</t>
  </si>
  <si>
    <t>OT Total</t>
  </si>
  <si>
    <t>Certified Correct:</t>
  </si>
  <si>
    <t>Reviewed:                                                                                    Approved:</t>
  </si>
  <si>
    <t xml:space="preserve">           JUN M. SALVANERA</t>
  </si>
  <si>
    <t>HELEN D. PACIENCIA</t>
  </si>
  <si>
    <t>---------------------------------------------------------</t>
  </si>
  <si>
    <t>-------------------------------------------                                                   -----------------------------------------------</t>
  </si>
  <si>
    <t>Employee Signature over Printed Name</t>
  </si>
  <si>
    <t xml:space="preserve">              Reviewed By                                                                                     Approved By </t>
  </si>
  <si>
    <t>(Signature over Printed Name)                                                     (Signature over Printed Name)</t>
  </si>
  <si>
    <t>&lt;Provider Logo&gt;</t>
  </si>
  <si>
    <t>Shift Schedule         :</t>
  </si>
  <si>
    <t>Client                          :</t>
  </si>
  <si>
    <t>Reviewed/Noted:</t>
  </si>
  <si>
    <t>____________________________________</t>
  </si>
  <si>
    <t>_______________________________</t>
  </si>
  <si>
    <t xml:space="preserve">               Department Head</t>
  </si>
  <si>
    <t>(Signature over Printed Name)</t>
  </si>
  <si>
    <r>
      <rPr>
        <b/>
        <sz val="14"/>
        <color rgb="FF000000"/>
        <rFont val="Calibri"/>
      </rPr>
      <t>DAILY TIME RECORD</t>
    </r>
    <r>
      <rPr>
        <b/>
        <sz val="12"/>
        <color rgb="FF000000"/>
        <rFont val="Calibri"/>
      </rPr>
      <t xml:space="preserve"> (</t>
    </r>
    <r>
      <rPr>
        <b/>
        <i/>
        <sz val="11"/>
        <color rgb="FF000000"/>
        <rFont val="Calibri"/>
      </rPr>
      <t>Total Number of Working Hours per Cost Center</t>
    </r>
    <r>
      <rPr>
        <b/>
        <sz val="12"/>
        <color rgb="FF000000"/>
        <rFont val="Calibri"/>
      </rPr>
      <t>)</t>
    </r>
  </si>
  <si>
    <t>TOTAL NUMBER OF WORKING HOURS PER COST CENTER</t>
  </si>
  <si>
    <t>DETAILED TOTAL NUMBER OF WORKING HOURS/COST  OF BUDGET PER COST CENTER</t>
  </si>
  <si>
    <t>Total Cost</t>
  </si>
  <si>
    <t>12% VAT</t>
  </si>
  <si>
    <t>Final Cost</t>
  </si>
  <si>
    <t>Regular Hours</t>
  </si>
  <si>
    <t>Regular Hrs(Cost)</t>
  </si>
  <si>
    <t>OT Hours</t>
  </si>
  <si>
    <t xml:space="preserve">OT Hrs(Cost) </t>
  </si>
  <si>
    <t>Total Costs</t>
  </si>
  <si>
    <t>VAT (12%)</t>
  </si>
  <si>
    <t>Final Costs</t>
  </si>
  <si>
    <t>OT %</t>
  </si>
  <si>
    <t>Grand Total</t>
  </si>
  <si>
    <t>Team Lead                :</t>
  </si>
  <si>
    <t>Hourly Rate              :</t>
  </si>
  <si>
    <t>PHP</t>
  </si>
  <si>
    <t>Description/Comments</t>
  </si>
  <si>
    <t>TOTAL NUMBER OF WORKING HOURS PER SIR</t>
  </si>
  <si>
    <t>SIR Number</t>
  </si>
  <si>
    <t>Used</t>
  </si>
  <si>
    <t>Remaining</t>
  </si>
  <si>
    <t>Total Man Hrs</t>
  </si>
  <si>
    <t>Days</t>
  </si>
  <si>
    <t>Day Num</t>
  </si>
  <si>
    <t>Percent</t>
  </si>
  <si>
    <t>Holidays</t>
  </si>
  <si>
    <t>Provider</t>
  </si>
  <si>
    <t>Section</t>
  </si>
  <si>
    <t>Activity</t>
  </si>
  <si>
    <t>Budget to be Drawn From</t>
  </si>
  <si>
    <t>New Year's Day</t>
  </si>
  <si>
    <t>SLI CONSULTING, INC.</t>
  </si>
  <si>
    <t>Ma. Corazon O. de Jesus</t>
  </si>
  <si>
    <t>BAS1</t>
  </si>
  <si>
    <t>SIR - FS Analysis &amp; Documentation</t>
  </si>
  <si>
    <t>SIBS Enhancement</t>
  </si>
  <si>
    <t>Radix</t>
  </si>
  <si>
    <t>Jose Cabungcal</t>
  </si>
  <si>
    <t>BAS2</t>
  </si>
  <si>
    <t>SIR - FS Review &amp; Revision</t>
  </si>
  <si>
    <t>FRP</t>
  </si>
  <si>
    <t>Archon</t>
  </si>
  <si>
    <t>Catherine Ann Dequito</t>
  </si>
  <si>
    <t>BAS3</t>
  </si>
  <si>
    <t>SIR - Development &amp; Testing</t>
  </si>
  <si>
    <t>RMBP</t>
  </si>
  <si>
    <t>Jesus Antonio Reyes</t>
  </si>
  <si>
    <t>SIR - SIT</t>
  </si>
  <si>
    <t>SIR Credit Cards</t>
  </si>
  <si>
    <t>Jeffrey dela Peña</t>
  </si>
  <si>
    <t>SIR - UAT Support</t>
  </si>
  <si>
    <t>Ferdinand Blando</t>
  </si>
  <si>
    <t>Job Request</t>
  </si>
  <si>
    <t>OP - CorPLan</t>
  </si>
  <si>
    <t>Assist BAS</t>
  </si>
  <si>
    <t>Production Issue/Problem</t>
  </si>
  <si>
    <t>Production  Support</t>
  </si>
  <si>
    <t>Project Meeting</t>
  </si>
  <si>
    <t>Training/Seminar</t>
  </si>
  <si>
    <t>Re-development</t>
  </si>
  <si>
    <t>Others</t>
  </si>
  <si>
    <t>RBG - CUL</t>
  </si>
  <si>
    <t>Department Head</t>
  </si>
  <si>
    <t>RBG - PL</t>
  </si>
  <si>
    <t xml:space="preserve">     Lucy F. Espiritu</t>
  </si>
  <si>
    <t>RBG - CRM</t>
  </si>
  <si>
    <t>GB - Head</t>
  </si>
  <si>
    <t>Corporate Office - 872</t>
  </si>
  <si>
    <t>OP - GCEM</t>
  </si>
  <si>
    <t>Buss. Mngmt &amp; Marketing</t>
  </si>
  <si>
    <t>Retail Marketing Mngmt</t>
  </si>
  <si>
    <t>RISK Mgmt. - CIAD</t>
  </si>
  <si>
    <t>Chinese New Year's Day</t>
  </si>
  <si>
    <t>EDSA People Power Revolution Anniversary</t>
  </si>
  <si>
    <t>Maundy Thursday</t>
  </si>
  <si>
    <t>Good Friday</t>
  </si>
  <si>
    <t xml:space="preserve">Black Saturday </t>
  </si>
  <si>
    <t>Araw ng Kagitingan</t>
  </si>
  <si>
    <t>Labor's Day</t>
  </si>
  <si>
    <t>Independence Day</t>
  </si>
  <si>
    <t>Ninoy Aquino Day</t>
  </si>
  <si>
    <t>National Heroes Day</t>
  </si>
  <si>
    <t>All Saint's Day</t>
  </si>
  <si>
    <t xml:space="preserve">Additional special (non-working) day </t>
  </si>
  <si>
    <t>Bonifacio Day</t>
  </si>
  <si>
    <t>Taguig DAY</t>
  </si>
  <si>
    <t>Christmas Day</t>
  </si>
  <si>
    <t>Rizal Day</t>
  </si>
  <si>
    <t>DTR Summary</t>
  </si>
  <si>
    <t>OT Hrs</t>
  </si>
  <si>
    <t>Regular(Cost)</t>
  </si>
  <si>
    <t xml:space="preserve">OT(Cost) </t>
  </si>
  <si>
    <t>Hourly Rate</t>
  </si>
  <si>
    <t>VAT Rate</t>
  </si>
  <si>
    <t/>
  </si>
  <si>
    <t>Jun M. Salvanera</t>
  </si>
  <si>
    <t>0 Total</t>
  </si>
  <si>
    <t>Mikaella Andrea Develos</t>
  </si>
  <si>
    <t>Began coding the frontend components for the dashboard, setting up initial UI elements.</t>
  </si>
  <si>
    <t>Working on PDF CDeveloped frontend modules for the attendance feature, ensuring usability and accuracy.onverter reseach and implementation how to convert docx to pdf</t>
  </si>
  <si>
    <t>Worked on billers module frontend, connecting forms and validation logic.</t>
  </si>
  <si>
    <t>Adjusted and fixed backend issues</t>
  </si>
  <si>
    <t>Finalized backend adjustments</t>
  </si>
  <si>
    <t>Conducted thorough debugging across modules</t>
  </si>
  <si>
    <t>MIKAELLA ANDREA DEVELOS</t>
  </si>
  <si>
    <t>11/16/25</t>
  </si>
  <si>
    <t>11/30/35</t>
  </si>
  <si>
    <t>11/30/25</t>
  </si>
  <si>
    <t xml:space="preserve"> </t>
  </si>
  <si>
    <t xml:space="preserve">Assisted instapay testing </t>
  </si>
  <si>
    <t>Worked on instapay dashboard</t>
  </si>
  <si>
    <t>assisted euronet and instapay testing</t>
  </si>
  <si>
    <t>Worked on instapay dashboard's error</t>
  </si>
  <si>
    <t>11/27/25</t>
  </si>
  <si>
    <t>11/28/25</t>
  </si>
  <si>
    <t>11/29/25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</si>
</sst>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hh:mm"/>
    <numFmt numFmtId="166" formatCode="mm/dd/yyyy"/>
    <numFmt numFmtId="167" formatCode="0.0"/>
    <numFmt numFmtId="168" formatCode="0.000"/>
    <numFmt numFmtId="169" formatCode="#,##0.000"/>
  </numFmts>
  <fonts count="22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i/>
      <sz val="11"/>
      <color rgb="FFE36C09"/>
      <name val="Calibri"/>
    </font>
    <font>
      <i/>
      <sz val="11"/>
      <color rgb="FF000000"/>
      <name val="Calibri"/>
    </font>
    <font>
      <b/>
      <sz val="11"/>
      <color theme="1"/>
      <name val="Calibri"/>
    </font>
    <font>
      <sz val="11"/>
      <name val="Calibri"/>
    </font>
    <font>
      <b/>
      <sz val="18"/>
      <color theme="1"/>
      <name val="Calibri"/>
    </font>
    <font>
      <sz val="11"/>
      <color rgb="FFFF0000"/>
      <name val="Calibri"/>
    </font>
    <font>
      <sz val="11"/>
      <color theme="0"/>
      <name val="Calibri"/>
    </font>
    <font>
      <b/>
      <sz val="8"/>
      <color theme="1"/>
      <name val="Calibri"/>
    </font>
    <font>
      <b/>
      <sz val="10"/>
      <color theme="1"/>
      <name val="Calibri"/>
    </font>
    <font>
      <b/>
      <i/>
      <sz val="11"/>
      <color theme="1"/>
      <name val="Calibri"/>
    </font>
    <font>
      <b/>
      <sz val="9"/>
      <color theme="1"/>
      <name val="Calibri"/>
    </font>
    <font>
      <b/>
      <sz val="11"/>
      <color rgb="FF0000FF"/>
      <name val="Calibri"/>
    </font>
    <font>
      <b/>
      <i/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Calibri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2"/>
      <color theme="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938953"/>
        <bgColor rgb="FF938953"/>
      </patternFill>
    </fill>
    <fill>
      <patternFill patternType="solid">
        <fgColor rgb="FF95B3D7"/>
        <bgColor rgb="FF95B3D7"/>
      </patternFill>
    </fill>
    <fill>
      <patternFill patternType="solid">
        <fgColor rgb="FF366092"/>
        <bgColor rgb="FF366092"/>
      </patternFill>
    </fill>
    <fill>
      <patternFill patternType="solid">
        <fgColor rgb="FFD99594"/>
        <bgColor rgb="FFD99594"/>
      </patternFill>
    </fill>
    <fill>
      <patternFill patternType="solid">
        <fgColor rgb="FF953734"/>
        <bgColor rgb="FF953734"/>
      </patternFill>
    </fill>
    <fill>
      <patternFill patternType="solid">
        <fgColor rgb="FFC2D69B"/>
        <bgColor rgb="FFC2D69B"/>
      </patternFill>
    </fill>
    <fill>
      <patternFill patternType="solid">
        <fgColor rgb="FF76923C"/>
        <bgColor rgb="FF76923C"/>
      </patternFill>
    </fill>
    <fill>
      <patternFill patternType="solid">
        <fgColor rgb="FFB2A1C7"/>
        <bgColor rgb="FFB2A1C7"/>
      </patternFill>
    </fill>
    <fill>
      <patternFill patternType="solid">
        <fgColor rgb="FF5F497A"/>
        <bgColor rgb="FF5F497A"/>
      </patternFill>
    </fill>
    <fill>
      <patternFill patternType="solid">
        <fgColor rgb="FF974806"/>
        <bgColor rgb="FF974806"/>
      </patternFill>
    </fill>
    <fill>
      <patternFill patternType="solid">
        <fgColor rgb="FF8DB3E2"/>
        <bgColor rgb="FF8DB3E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548DD4"/>
        <bgColor rgb="FF548DD4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FBD4B4"/>
      </patternFill>
    </fill>
  </fills>
  <borders count="19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2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3" fillId="0" borderId="4" xfId="0" applyFont="1" applyBorder="1" applyAlignment="1">
      <alignment horizontal="left"/>
    </xf>
    <xf numFmtId="0" fontId="3" fillId="0" borderId="0" xfId="0" applyFont="1"/>
    <xf numFmtId="0" fontId="4" fillId="0" borderId="0" xfId="0" quotePrefix="1" applyFont="1"/>
    <xf numFmtId="0" fontId="5" fillId="0" borderId="4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6" fillId="0" borderId="0" xfId="0" applyFont="1" applyAlignment="1">
      <alignment horizontal="center"/>
    </xf>
    <xf numFmtId="0" fontId="2" fillId="15" borderId="20" xfId="0" applyFont="1" applyFill="1" applyBorder="1" applyAlignment="1">
      <alignment horizontal="left" vertical="center"/>
    </xf>
    <xf numFmtId="0" fontId="2" fillId="15" borderId="20" xfId="0" applyFont="1" applyFill="1" applyBorder="1"/>
    <xf numFmtId="0" fontId="2" fillId="15" borderId="20" xfId="0" applyFont="1" applyFill="1" applyBorder="1" applyAlignment="1">
      <alignment horizontal="left"/>
    </xf>
    <xf numFmtId="164" fontId="9" fillId="15" borderId="20" xfId="0" applyNumberFormat="1" applyFont="1" applyFill="1" applyBorder="1" applyAlignment="1">
      <alignment horizontal="left"/>
    </xf>
    <xf numFmtId="0" fontId="6" fillId="13" borderId="25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16" fontId="6" fillId="15" borderId="20" xfId="0" applyNumberFormat="1" applyFont="1" applyFill="1" applyBorder="1" applyAlignment="1">
      <alignment horizontal="center" vertical="center"/>
    </xf>
    <xf numFmtId="164" fontId="2" fillId="14" borderId="27" xfId="0" applyNumberFormat="1" applyFont="1" applyFill="1" applyBorder="1" applyAlignment="1">
      <alignment horizontal="center" vertical="center"/>
    </xf>
    <xf numFmtId="164" fontId="2" fillId="15" borderId="20" xfId="0" applyNumberFormat="1" applyFont="1" applyFill="1" applyBorder="1" applyAlignment="1">
      <alignment horizontal="center" vertical="center"/>
    </xf>
    <xf numFmtId="1" fontId="10" fillId="15" borderId="20" xfId="0" applyNumberFormat="1" applyFont="1" applyFill="1" applyBorder="1" applyAlignment="1">
      <alignment horizontal="center" vertical="center"/>
    </xf>
    <xf numFmtId="164" fontId="2" fillId="15" borderId="20" xfId="0" applyNumberFormat="1" applyFont="1" applyFill="1" applyBorder="1"/>
    <xf numFmtId="0" fontId="6" fillId="15" borderId="20" xfId="0" applyFont="1" applyFill="1" applyBorder="1" applyAlignment="1">
      <alignment horizontal="left" vertical="center"/>
    </xf>
    <xf numFmtId="1" fontId="2" fillId="15" borderId="20" xfId="0" applyNumberFormat="1" applyFont="1" applyFill="1" applyBorder="1"/>
    <xf numFmtId="2" fontId="2" fillId="0" borderId="25" xfId="0" applyNumberFormat="1" applyFont="1" applyBorder="1"/>
    <xf numFmtId="2" fontId="2" fillId="0" borderId="29" xfId="0" applyNumberFormat="1" applyFont="1" applyBorder="1"/>
    <xf numFmtId="2" fontId="2" fillId="0" borderId="26" xfId="0" applyNumberFormat="1" applyFont="1" applyBorder="1"/>
    <xf numFmtId="0" fontId="6" fillId="13" borderId="39" xfId="0" applyFont="1" applyFill="1" applyBorder="1" applyAlignment="1">
      <alignment horizontal="center" vertical="center"/>
    </xf>
    <xf numFmtId="0" fontId="6" fillId="0" borderId="42" xfId="0" applyFont="1" applyBorder="1"/>
    <xf numFmtId="2" fontId="2" fillId="14" borderId="45" xfId="0" applyNumberFormat="1" applyFont="1" applyFill="1" applyBorder="1"/>
    <xf numFmtId="2" fontId="2" fillId="14" borderId="46" xfId="0" applyNumberFormat="1" applyFont="1" applyFill="1" applyBorder="1"/>
    <xf numFmtId="0" fontId="2" fillId="0" borderId="47" xfId="0" applyFont="1" applyBorder="1"/>
    <xf numFmtId="0" fontId="2" fillId="15" borderId="48" xfId="0" applyFont="1" applyFill="1" applyBorder="1"/>
    <xf numFmtId="0" fontId="2" fillId="15" borderId="49" xfId="0" applyFont="1" applyFill="1" applyBorder="1"/>
    <xf numFmtId="2" fontId="2" fillId="15" borderId="50" xfId="0" applyNumberFormat="1" applyFont="1" applyFill="1" applyBorder="1"/>
    <xf numFmtId="0" fontId="2" fillId="0" borderId="51" xfId="0" applyFont="1" applyBorder="1"/>
    <xf numFmtId="2" fontId="2" fillId="0" borderId="52" xfId="0" applyNumberFormat="1" applyFont="1" applyBorder="1"/>
    <xf numFmtId="2" fontId="2" fillId="0" borderId="53" xfId="0" applyNumberFormat="1" applyFont="1" applyBorder="1"/>
    <xf numFmtId="0" fontId="2" fillId="0" borderId="54" xfId="0" applyFont="1" applyBorder="1"/>
    <xf numFmtId="2" fontId="2" fillId="0" borderId="55" xfId="0" applyNumberFormat="1" applyFont="1" applyBorder="1"/>
    <xf numFmtId="2" fontId="2" fillId="0" borderId="49" xfId="0" applyNumberFormat="1" applyFont="1" applyBorder="1"/>
    <xf numFmtId="2" fontId="2" fillId="0" borderId="56" xfId="0" applyNumberFormat="1" applyFont="1" applyBorder="1"/>
    <xf numFmtId="2" fontId="2" fillId="0" borderId="57" xfId="0" applyNumberFormat="1" applyFont="1" applyBorder="1"/>
    <xf numFmtId="2" fontId="2" fillId="14" borderId="51" xfId="0" applyNumberFormat="1" applyFont="1" applyFill="1" applyBorder="1"/>
    <xf numFmtId="0" fontId="2" fillId="0" borderId="58" xfId="0" applyFont="1" applyBorder="1"/>
    <xf numFmtId="0" fontId="2" fillId="0" borderId="45" xfId="0" applyFont="1" applyBorder="1"/>
    <xf numFmtId="2" fontId="2" fillId="0" borderId="47" xfId="0" applyNumberFormat="1" applyFont="1" applyBorder="1"/>
    <xf numFmtId="2" fontId="2" fillId="0" borderId="59" xfId="0" applyNumberFormat="1" applyFont="1" applyBorder="1"/>
    <xf numFmtId="2" fontId="2" fillId="0" borderId="60" xfId="0" applyNumberFormat="1" applyFont="1" applyBorder="1"/>
    <xf numFmtId="2" fontId="2" fillId="0" borderId="61" xfId="0" applyNumberFormat="1" applyFont="1" applyBorder="1"/>
    <xf numFmtId="0" fontId="2" fillId="0" borderId="60" xfId="0" applyFont="1" applyBorder="1"/>
    <xf numFmtId="164" fontId="2" fillId="0" borderId="66" xfId="0" applyNumberFormat="1" applyFont="1" applyBorder="1"/>
    <xf numFmtId="0" fontId="2" fillId="0" borderId="67" xfId="0" applyFont="1" applyBorder="1"/>
    <xf numFmtId="0" fontId="2" fillId="15" borderId="67" xfId="0" applyFont="1" applyFill="1" applyBorder="1"/>
    <xf numFmtId="0" fontId="2" fillId="0" borderId="68" xfId="0" applyFont="1" applyBorder="1"/>
    <xf numFmtId="0" fontId="2" fillId="0" borderId="66" xfId="0" applyFont="1" applyBorder="1"/>
    <xf numFmtId="2" fontId="2" fillId="0" borderId="67" xfId="0" applyNumberFormat="1" applyFont="1" applyBorder="1"/>
    <xf numFmtId="164" fontId="6" fillId="13" borderId="42" xfId="0" applyNumberFormat="1" applyFont="1" applyFill="1" applyBorder="1" applyAlignment="1">
      <alignment horizontal="left" vertical="center"/>
    </xf>
    <xf numFmtId="2" fontId="2" fillId="13" borderId="42" xfId="0" applyNumberFormat="1" applyFont="1" applyFill="1" applyBorder="1"/>
    <xf numFmtId="0" fontId="10" fillId="0" borderId="0" xfId="0" applyFont="1"/>
    <xf numFmtId="164" fontId="2" fillId="0" borderId="0" xfId="0" applyNumberFormat="1" applyFont="1"/>
    <xf numFmtId="165" fontId="2" fillId="14" borderId="74" xfId="0" applyNumberFormat="1" applyFont="1" applyFill="1" applyBorder="1" applyAlignment="1">
      <alignment horizontal="center" vertical="center"/>
    </xf>
    <xf numFmtId="165" fontId="2" fillId="14" borderId="75" xfId="0" applyNumberFormat="1" applyFont="1" applyFill="1" applyBorder="1" applyAlignment="1">
      <alignment horizontal="center" vertical="center"/>
    </xf>
    <xf numFmtId="20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2" fontId="2" fillId="0" borderId="0" xfId="0" applyNumberFormat="1" applyFont="1"/>
    <xf numFmtId="0" fontId="2" fillId="14" borderId="76" xfId="0" applyFont="1" applyFill="1" applyBorder="1"/>
    <xf numFmtId="0" fontId="2" fillId="14" borderId="77" xfId="0" applyFont="1" applyFill="1" applyBorder="1"/>
    <xf numFmtId="0" fontId="2" fillId="0" borderId="0" xfId="0" applyFont="1" applyAlignment="1">
      <alignment vertical="center"/>
    </xf>
    <xf numFmtId="164" fontId="2" fillId="14" borderId="28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166" fontId="2" fillId="0" borderId="0" xfId="0" applyNumberFormat="1" applyFont="1"/>
    <xf numFmtId="20" fontId="10" fillId="0" borderId="0" xfId="0" applyNumberFormat="1" applyFont="1"/>
    <xf numFmtId="0" fontId="6" fillId="13" borderId="86" xfId="0" applyFont="1" applyFill="1" applyBorder="1" applyAlignment="1">
      <alignment horizontal="center" vertical="center"/>
    </xf>
    <xf numFmtId="0" fontId="6" fillId="13" borderId="87" xfId="0" applyFont="1" applyFill="1" applyBorder="1" applyAlignment="1">
      <alignment horizontal="center" vertical="center"/>
    </xf>
    <xf numFmtId="0" fontId="6" fillId="13" borderId="66" xfId="0" applyFont="1" applyFill="1" applyBorder="1" applyAlignment="1">
      <alignment horizontal="center" vertical="center"/>
    </xf>
    <xf numFmtId="0" fontId="6" fillId="13" borderId="68" xfId="0" applyFont="1" applyFill="1" applyBorder="1" applyAlignment="1">
      <alignment horizontal="center" vertical="center"/>
    </xf>
    <xf numFmtId="0" fontId="2" fillId="0" borderId="52" xfId="0" applyFont="1" applyBorder="1"/>
    <xf numFmtId="0" fontId="2" fillId="0" borderId="53" xfId="0" applyFont="1" applyBorder="1"/>
    <xf numFmtId="0" fontId="6" fillId="0" borderId="53" xfId="0" applyFont="1" applyBorder="1"/>
    <xf numFmtId="0" fontId="6" fillId="9" borderId="53" xfId="0" applyFont="1" applyFill="1" applyBorder="1"/>
    <xf numFmtId="0" fontId="6" fillId="0" borderId="53" xfId="0" applyFont="1" applyBorder="1" applyAlignment="1">
      <alignment horizontal="right" vertical="center"/>
    </xf>
    <xf numFmtId="0" fontId="6" fillId="9" borderId="54" xfId="0" applyFont="1" applyFill="1" applyBorder="1" applyAlignment="1">
      <alignment horizontal="right" vertical="center"/>
    </xf>
    <xf numFmtId="164" fontId="2" fillId="15" borderId="88" xfId="0" applyNumberFormat="1" applyFont="1" applyFill="1" applyBorder="1"/>
    <xf numFmtId="20" fontId="2" fillId="0" borderId="45" xfId="0" applyNumberFormat="1" applyFont="1" applyBorder="1"/>
    <xf numFmtId="20" fontId="2" fillId="0" borderId="89" xfId="0" applyNumberFormat="1" applyFont="1" applyBorder="1"/>
    <xf numFmtId="20" fontId="2" fillId="0" borderId="90" xfId="0" applyNumberFormat="1" applyFont="1" applyBorder="1"/>
    <xf numFmtId="2" fontId="2" fillId="14" borderId="52" xfId="0" applyNumberFormat="1" applyFont="1" applyFill="1" applyBorder="1"/>
    <xf numFmtId="167" fontId="2" fillId="0" borderId="0" xfId="0" applyNumberFormat="1" applyFont="1"/>
    <xf numFmtId="20" fontId="2" fillId="0" borderId="47" xfId="0" applyNumberFormat="1" applyFont="1" applyBorder="1"/>
    <xf numFmtId="20" fontId="2" fillId="9" borderId="47" xfId="0" applyNumberFormat="1" applyFont="1" applyFill="1" applyBorder="1"/>
    <xf numFmtId="2" fontId="2" fillId="9" borderId="51" xfId="0" applyNumberFormat="1" applyFont="1" applyFill="1" applyBorder="1"/>
    <xf numFmtId="164" fontId="2" fillId="0" borderId="64" xfId="0" applyNumberFormat="1" applyFont="1" applyBorder="1"/>
    <xf numFmtId="20" fontId="2" fillId="0" borderId="91" xfId="0" applyNumberFormat="1" applyFont="1" applyBorder="1"/>
    <xf numFmtId="20" fontId="2" fillId="0" borderId="60" xfId="0" applyNumberFormat="1" applyFont="1" applyBorder="1"/>
    <xf numFmtId="20" fontId="2" fillId="0" borderId="0" xfId="0" applyNumberFormat="1" applyFont="1"/>
    <xf numFmtId="0" fontId="2" fillId="0" borderId="62" xfId="0" applyFont="1" applyBorder="1"/>
    <xf numFmtId="0" fontId="2" fillId="0" borderId="92" xfId="0" applyFont="1" applyBorder="1"/>
    <xf numFmtId="0" fontId="2" fillId="0" borderId="93" xfId="0" applyFont="1" applyBorder="1"/>
    <xf numFmtId="2" fontId="2" fillId="14" borderId="66" xfId="0" applyNumberFormat="1" applyFont="1" applyFill="1" applyBorder="1"/>
    <xf numFmtId="0" fontId="2" fillId="9" borderId="67" xfId="0" applyFont="1" applyFill="1" applyBorder="1"/>
    <xf numFmtId="2" fontId="2" fillId="9" borderId="68" xfId="0" applyNumberFormat="1" applyFont="1" applyFill="1" applyBorder="1"/>
    <xf numFmtId="0" fontId="6" fillId="13" borderId="94" xfId="0" applyFont="1" applyFill="1" applyBorder="1"/>
    <xf numFmtId="20" fontId="2" fillId="13" borderId="95" xfId="0" applyNumberFormat="1" applyFont="1" applyFill="1" applyBorder="1"/>
    <xf numFmtId="0" fontId="2" fillId="13" borderId="95" xfId="0" applyFont="1" applyFill="1" applyBorder="1"/>
    <xf numFmtId="0" fontId="2" fillId="13" borderId="96" xfId="0" applyFont="1" applyFill="1" applyBorder="1"/>
    <xf numFmtId="2" fontId="6" fillId="13" borderId="42" xfId="0" applyNumberFormat="1" applyFont="1" applyFill="1" applyBorder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quotePrefix="1" applyFont="1"/>
    <xf numFmtId="0" fontId="13" fillId="0" borderId="0" xfId="0" applyFont="1"/>
    <xf numFmtId="0" fontId="2" fillId="14" borderId="98" xfId="0" applyFont="1" applyFill="1" applyBorder="1"/>
    <xf numFmtId="0" fontId="6" fillId="13" borderId="99" xfId="0" applyFont="1" applyFill="1" applyBorder="1" applyAlignment="1">
      <alignment horizontal="center" vertical="center"/>
    </xf>
    <xf numFmtId="164" fontId="2" fillId="14" borderId="100" xfId="0" applyNumberFormat="1" applyFont="1" applyFill="1" applyBorder="1" applyAlignment="1">
      <alignment horizontal="center" vertical="center"/>
    </xf>
    <xf numFmtId="2" fontId="2" fillId="14" borderId="105" xfId="0" applyNumberFormat="1" applyFont="1" applyFill="1" applyBorder="1"/>
    <xf numFmtId="168" fontId="2" fillId="0" borderId="0" xfId="0" applyNumberFormat="1" applyFont="1"/>
    <xf numFmtId="20" fontId="2" fillId="0" borderId="106" xfId="0" applyNumberFormat="1" applyFont="1" applyBorder="1"/>
    <xf numFmtId="20" fontId="2" fillId="0" borderId="66" xfId="0" applyNumberFormat="1" applyFont="1" applyBorder="1"/>
    <xf numFmtId="20" fontId="2" fillId="0" borderId="68" xfId="0" applyNumberFormat="1" applyFont="1" applyBorder="1"/>
    <xf numFmtId="0" fontId="2" fillId="14" borderId="68" xfId="0" applyFont="1" applyFill="1" applyBorder="1"/>
    <xf numFmtId="0" fontId="2" fillId="9" borderId="68" xfId="0" applyFont="1" applyFill="1" applyBorder="1"/>
    <xf numFmtId="0" fontId="2" fillId="14" borderId="113" xfId="0" applyFont="1" applyFill="1" applyBorder="1" applyAlignment="1">
      <alignment horizontal="left" vertical="center"/>
    </xf>
    <xf numFmtId="0" fontId="2" fillId="14" borderId="114" xfId="0" applyFont="1" applyFill="1" applyBorder="1"/>
    <xf numFmtId="165" fontId="2" fillId="14" borderId="115" xfId="0" applyNumberFormat="1" applyFont="1" applyFill="1" applyBorder="1" applyAlignment="1">
      <alignment vertical="center"/>
    </xf>
    <xf numFmtId="165" fontId="2" fillId="14" borderId="116" xfId="0" applyNumberFormat="1" applyFont="1" applyFill="1" applyBorder="1" applyAlignment="1">
      <alignment vertical="center"/>
    </xf>
    <xf numFmtId="164" fontId="2" fillId="0" borderId="103" xfId="0" applyNumberFormat="1" applyFont="1" applyBorder="1"/>
    <xf numFmtId="20" fontId="2" fillId="0" borderId="52" xfId="0" applyNumberFormat="1" applyFont="1" applyBorder="1"/>
    <xf numFmtId="20" fontId="2" fillId="0" borderId="54" xfId="0" applyNumberFormat="1" applyFont="1" applyBorder="1"/>
    <xf numFmtId="0" fontId="2" fillId="14" borderId="52" xfId="0" applyFont="1" applyFill="1" applyBorder="1"/>
    <xf numFmtId="0" fontId="2" fillId="14" borderId="54" xfId="0" applyFont="1" applyFill="1" applyBorder="1"/>
    <xf numFmtId="0" fontId="2" fillId="0" borderId="104" xfId="0" applyFont="1" applyBorder="1"/>
    <xf numFmtId="20" fontId="2" fillId="0" borderId="51" xfId="0" applyNumberFormat="1" applyFont="1" applyBorder="1"/>
    <xf numFmtId="0" fontId="2" fillId="14" borderId="45" xfId="0" applyFont="1" applyFill="1" applyBorder="1"/>
    <xf numFmtId="0" fontId="2" fillId="14" borderId="51" xfId="0" applyFont="1" applyFill="1" applyBorder="1"/>
    <xf numFmtId="0" fontId="2" fillId="0" borderId="65" xfId="0" applyFont="1" applyBorder="1"/>
    <xf numFmtId="20" fontId="2" fillId="14" borderId="45" xfId="0" applyNumberFormat="1" applyFont="1" applyFill="1" applyBorder="1"/>
    <xf numFmtId="164" fontId="2" fillId="0" borderId="117" xfId="0" applyNumberFormat="1" applyFont="1" applyBorder="1"/>
    <xf numFmtId="20" fontId="2" fillId="0" borderId="118" xfId="0" applyNumberFormat="1" applyFont="1" applyBorder="1"/>
    <xf numFmtId="20" fontId="2" fillId="0" borderId="119" xfId="0" applyNumberFormat="1" applyFont="1" applyBorder="1"/>
    <xf numFmtId="20" fontId="2" fillId="0" borderId="120" xfId="0" applyNumberFormat="1" applyFont="1" applyBorder="1"/>
    <xf numFmtId="0" fontId="2" fillId="14" borderId="121" xfId="0" applyFont="1" applyFill="1" applyBorder="1"/>
    <xf numFmtId="0" fontId="2" fillId="0" borderId="122" xfId="0" applyFont="1" applyBorder="1"/>
    <xf numFmtId="0" fontId="2" fillId="14" borderId="66" xfId="0" applyFont="1" applyFill="1" applyBorder="1"/>
    <xf numFmtId="0" fontId="2" fillId="0" borderId="63" xfId="0" applyFont="1" applyBorder="1"/>
    <xf numFmtId="0" fontId="2" fillId="14" borderId="125" xfId="0" applyFont="1" applyFill="1" applyBorder="1"/>
    <xf numFmtId="0" fontId="2" fillId="14" borderId="126" xfId="0" applyFont="1" applyFill="1" applyBorder="1"/>
    <xf numFmtId="0" fontId="2" fillId="14" borderId="132" xfId="0" applyFont="1" applyFill="1" applyBorder="1"/>
    <xf numFmtId="0" fontId="2" fillId="14" borderId="133" xfId="0" applyFont="1" applyFill="1" applyBorder="1"/>
    <xf numFmtId="0" fontId="6" fillId="13" borderId="135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37" xfId="0" applyFont="1" applyFill="1" applyBorder="1" applyAlignment="1">
      <alignment horizontal="center" vertical="center"/>
    </xf>
    <xf numFmtId="0" fontId="6" fillId="13" borderId="138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2" fillId="0" borderId="142" xfId="0" applyFont="1" applyBorder="1"/>
    <xf numFmtId="4" fontId="2" fillId="0" borderId="143" xfId="0" applyNumberFormat="1" applyFont="1" applyBorder="1"/>
    <xf numFmtId="4" fontId="2" fillId="0" borderId="144" xfId="0" applyNumberFormat="1" applyFont="1" applyBorder="1"/>
    <xf numFmtId="4" fontId="2" fillId="0" borderId="51" xfId="0" applyNumberFormat="1" applyFont="1" applyBorder="1"/>
    <xf numFmtId="4" fontId="2" fillId="0" borderId="89" xfId="0" applyNumberFormat="1" applyFont="1" applyBorder="1"/>
    <xf numFmtId="4" fontId="2" fillId="0" borderId="58" xfId="0" applyNumberFormat="1" applyFont="1" applyBorder="1"/>
    <xf numFmtId="4" fontId="2" fillId="0" borderId="90" xfId="0" applyNumberFormat="1" applyFont="1" applyBorder="1"/>
    <xf numFmtId="4" fontId="2" fillId="0" borderId="145" xfId="0" applyNumberFormat="1" applyFont="1" applyBorder="1"/>
    <xf numFmtId="4" fontId="2" fillId="0" borderId="146" xfId="0" applyNumberFormat="1" applyFont="1" applyBorder="1"/>
    <xf numFmtId="4" fontId="2" fillId="0" borderId="45" xfId="0" applyNumberFormat="1" applyFont="1" applyBorder="1"/>
    <xf numFmtId="4" fontId="2" fillId="0" borderId="91" xfId="0" applyNumberFormat="1" applyFont="1" applyBorder="1"/>
    <xf numFmtId="4" fontId="2" fillId="0" borderId="47" xfId="0" applyNumberFormat="1" applyFont="1" applyBorder="1"/>
    <xf numFmtId="4" fontId="2" fillId="0" borderId="60" xfId="0" applyNumberFormat="1" applyFont="1" applyBorder="1"/>
    <xf numFmtId="4" fontId="2" fillId="0" borderId="147" xfId="0" applyNumberFormat="1" applyFont="1" applyBorder="1"/>
    <xf numFmtId="4" fontId="2" fillId="0" borderId="14" xfId="0" applyNumberFormat="1" applyFont="1" applyBorder="1"/>
    <xf numFmtId="0" fontId="6" fillId="13" borderId="148" xfId="0" applyFont="1" applyFill="1" applyBorder="1" applyAlignment="1">
      <alignment horizontal="center" vertical="center"/>
    </xf>
    <xf numFmtId="0" fontId="6" fillId="13" borderId="149" xfId="0" applyFont="1" applyFill="1" applyBorder="1" applyAlignment="1">
      <alignment horizontal="center" vertical="center"/>
    </xf>
    <xf numFmtId="164" fontId="2" fillId="14" borderId="150" xfId="0" applyNumberFormat="1" applyFont="1" applyFill="1" applyBorder="1" applyAlignment="1">
      <alignment horizontal="center" vertical="center"/>
    </xf>
    <xf numFmtId="0" fontId="6" fillId="14" borderId="27" xfId="0" applyFont="1" applyFill="1" applyBorder="1"/>
    <xf numFmtId="4" fontId="2" fillId="15" borderId="150" xfId="0" applyNumberFormat="1" applyFont="1" applyFill="1" applyBorder="1"/>
    <xf numFmtId="4" fontId="2" fillId="15" borderId="20" xfId="0" applyNumberFormat="1" applyFont="1" applyFill="1" applyBorder="1"/>
    <xf numFmtId="4" fontId="2" fillId="0" borderId="118" xfId="0" applyNumberFormat="1" applyFont="1" applyBorder="1"/>
    <xf numFmtId="4" fontId="2" fillId="0" borderId="120" xfId="0" applyNumberFormat="1" applyFont="1" applyBorder="1"/>
    <xf numFmtId="4" fontId="2" fillId="0" borderId="153" xfId="0" applyNumberFormat="1" applyFont="1" applyBorder="1"/>
    <xf numFmtId="4" fontId="2" fillId="0" borderId="106" xfId="0" applyNumberFormat="1" applyFont="1" applyBorder="1"/>
    <xf numFmtId="4" fontId="2" fillId="0" borderId="154" xfId="0" applyNumberFormat="1" applyFont="1" applyBorder="1"/>
    <xf numFmtId="4" fontId="2" fillId="0" borderId="155" xfId="0" applyNumberFormat="1" applyFont="1" applyBorder="1"/>
    <xf numFmtId="0" fontId="6" fillId="19" borderId="156" xfId="0" applyFont="1" applyFill="1" applyBorder="1"/>
    <xf numFmtId="4" fontId="2" fillId="19" borderId="29" xfId="0" applyNumberFormat="1" applyFont="1" applyFill="1" applyBorder="1"/>
    <xf numFmtId="0" fontId="6" fillId="15" borderId="157" xfId="0" applyFont="1" applyFill="1" applyBorder="1"/>
    <xf numFmtId="0" fontId="2" fillId="15" borderId="157" xfId="0" applyFont="1" applyFill="1" applyBorder="1"/>
    <xf numFmtId="4" fontId="2" fillId="15" borderId="157" xfId="0" applyNumberFormat="1" applyFont="1" applyFill="1" applyBorder="1"/>
    <xf numFmtId="0" fontId="6" fillId="0" borderId="135" xfId="0" applyFont="1" applyBorder="1" applyAlignment="1">
      <alignment horizontal="center"/>
    </xf>
    <xf numFmtId="0" fontId="6" fillId="0" borderId="137" xfId="0" applyFont="1" applyBorder="1" applyAlignment="1">
      <alignment horizontal="center"/>
    </xf>
    <xf numFmtId="0" fontId="6" fillId="0" borderId="13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0" xfId="0" applyFont="1" applyBorder="1" applyAlignment="1">
      <alignment horizontal="center" vertical="center"/>
    </xf>
    <xf numFmtId="164" fontId="2" fillId="0" borderId="55" xfId="0" applyNumberFormat="1" applyFont="1" applyBorder="1"/>
    <xf numFmtId="4" fontId="2" fillId="0" borderId="49" xfId="0" applyNumberFormat="1" applyFont="1" applyBorder="1"/>
    <xf numFmtId="164" fontId="2" fillId="0" borderId="59" xfId="0" applyNumberFormat="1" applyFont="1" applyBorder="1"/>
    <xf numFmtId="0" fontId="2" fillId="18" borderId="20" xfId="0" applyFont="1" applyFill="1" applyBorder="1"/>
    <xf numFmtId="168" fontId="2" fillId="0" borderId="47" xfId="0" applyNumberFormat="1" applyFont="1" applyBorder="1"/>
    <xf numFmtId="164" fontId="2" fillId="0" borderId="162" xfId="0" applyNumberFormat="1" applyFont="1" applyBorder="1"/>
    <xf numFmtId="0" fontId="2" fillId="0" borderId="163" xfId="0" applyFont="1" applyBorder="1"/>
    <xf numFmtId="0" fontId="2" fillId="0" borderId="139" xfId="0" applyFont="1" applyBorder="1"/>
    <xf numFmtId="0" fontId="6" fillId="14" borderId="25" xfId="0" applyFont="1" applyFill="1" applyBorder="1"/>
    <xf numFmtId="4" fontId="2" fillId="14" borderId="29" xfId="0" applyNumberFormat="1" applyFont="1" applyFill="1" applyBorder="1"/>
    <xf numFmtId="169" fontId="2" fillId="14" borderId="29" xfId="0" applyNumberFormat="1" applyFont="1" applyFill="1" applyBorder="1"/>
    <xf numFmtId="4" fontId="2" fillId="14" borderId="26" xfId="0" applyNumberFormat="1" applyFont="1" applyFill="1" applyBorder="1"/>
    <xf numFmtId="0" fontId="6" fillId="15" borderId="20" xfId="0" applyFont="1" applyFill="1" applyBorder="1"/>
    <xf numFmtId="0" fontId="6" fillId="15" borderId="20" xfId="0" applyFont="1" applyFill="1" applyBorder="1" applyAlignment="1">
      <alignment vertical="center" wrapText="1"/>
    </xf>
    <xf numFmtId="0" fontId="6" fillId="15" borderId="20" xfId="0" applyFont="1" applyFill="1" applyBorder="1" applyAlignment="1">
      <alignment vertical="center"/>
    </xf>
    <xf numFmtId="0" fontId="6" fillId="13" borderId="169" xfId="0" applyFont="1" applyFill="1" applyBorder="1" applyAlignment="1">
      <alignment horizontal="center" vertical="center"/>
    </xf>
    <xf numFmtId="0" fontId="12" fillId="13" borderId="98" xfId="0" applyFont="1" applyFill="1" applyBorder="1" applyAlignment="1">
      <alignment horizontal="center" vertical="center"/>
    </xf>
    <xf numFmtId="0" fontId="6" fillId="13" borderId="121" xfId="0" applyFont="1" applyFill="1" applyBorder="1" applyAlignment="1">
      <alignment horizontal="center" vertical="center"/>
    </xf>
    <xf numFmtId="0" fontId="14" fillId="13" borderId="77" xfId="0" applyFont="1" applyFill="1" applyBorder="1" applyAlignment="1">
      <alignment horizontal="center" vertical="center"/>
    </xf>
    <xf numFmtId="0" fontId="2" fillId="15" borderId="171" xfId="0" applyFont="1" applyFill="1" applyBorder="1"/>
    <xf numFmtId="4" fontId="2" fillId="15" borderId="53" xfId="0" applyNumberFormat="1" applyFont="1" applyFill="1" applyBorder="1"/>
    <xf numFmtId="4" fontId="2" fillId="15" borderId="172" xfId="0" applyNumberFormat="1" applyFont="1" applyFill="1" applyBorder="1"/>
    <xf numFmtId="0" fontId="2" fillId="15" borderId="59" xfId="0" applyFont="1" applyFill="1" applyBorder="1"/>
    <xf numFmtId="4" fontId="2" fillId="15" borderId="47" xfId="0" applyNumberFormat="1" applyFont="1" applyFill="1" applyBorder="1"/>
    <xf numFmtId="4" fontId="2" fillId="15" borderId="173" xfId="0" applyNumberFormat="1" applyFont="1" applyFill="1" applyBorder="1"/>
    <xf numFmtId="0" fontId="2" fillId="15" borderId="47" xfId="0" applyFont="1" applyFill="1" applyBorder="1"/>
    <xf numFmtId="0" fontId="2" fillId="15" borderId="173" xfId="0" applyFont="1" applyFill="1" applyBorder="1"/>
    <xf numFmtId="0" fontId="2" fillId="0" borderId="59" xfId="0" applyFont="1" applyBorder="1"/>
    <xf numFmtId="0" fontId="2" fillId="0" borderId="173" xfId="0" applyFont="1" applyBorder="1"/>
    <xf numFmtId="0" fontId="2" fillId="0" borderId="174" xfId="0" applyFont="1" applyBorder="1"/>
    <xf numFmtId="0" fontId="6" fillId="20" borderId="175" xfId="0" applyFont="1" applyFill="1" applyBorder="1"/>
    <xf numFmtId="0" fontId="6" fillId="20" borderId="176" xfId="0" applyFont="1" applyFill="1" applyBorder="1"/>
    <xf numFmtId="2" fontId="6" fillId="20" borderId="177" xfId="0" applyNumberFormat="1" applyFont="1" applyFill="1" applyBorder="1"/>
    <xf numFmtId="0" fontId="6" fillId="20" borderId="177" xfId="0" applyFont="1" applyFill="1" applyBorder="1"/>
    <xf numFmtId="0" fontId="2" fillId="0" borderId="143" xfId="0" applyFont="1" applyBorder="1"/>
    <xf numFmtId="2" fontId="2" fillId="0" borderId="144" xfId="0" applyNumberFormat="1" applyFont="1" applyBorder="1"/>
    <xf numFmtId="164" fontId="2" fillId="0" borderId="178" xfId="0" applyNumberFormat="1" applyFont="1" applyBorder="1"/>
    <xf numFmtId="164" fontId="2" fillId="0" borderId="58" xfId="0" applyNumberFormat="1" applyFont="1" applyBorder="1"/>
    <xf numFmtId="0" fontId="2" fillId="0" borderId="179" xfId="0" applyFont="1" applyBorder="1"/>
    <xf numFmtId="0" fontId="2" fillId="0" borderId="144" xfId="0" applyFont="1" applyBorder="1"/>
    <xf numFmtId="0" fontId="2" fillId="2" borderId="45" xfId="0" applyFont="1" applyFill="1" applyBorder="1"/>
    <xf numFmtId="2" fontId="2" fillId="0" borderId="51" xfId="0" applyNumberFormat="1" applyFont="1" applyBorder="1"/>
    <xf numFmtId="164" fontId="2" fillId="0" borderId="47" xfId="0" applyNumberFormat="1" applyFont="1" applyBorder="1"/>
    <xf numFmtId="0" fontId="2" fillId="3" borderId="45" xfId="0" applyFont="1" applyFill="1" applyBorder="1"/>
    <xf numFmtId="0" fontId="2" fillId="4" borderId="45" xfId="0" applyFont="1" applyFill="1" applyBorder="1"/>
    <xf numFmtId="0" fontId="2" fillId="5" borderId="45" xfId="0" applyFont="1" applyFill="1" applyBorder="1" applyAlignment="1">
      <alignment horizontal="left"/>
    </xf>
    <xf numFmtId="0" fontId="2" fillId="6" borderId="45" xfId="0" applyFont="1" applyFill="1" applyBorder="1"/>
    <xf numFmtId="0" fontId="2" fillId="0" borderId="147" xfId="0" applyFont="1" applyBorder="1"/>
    <xf numFmtId="0" fontId="2" fillId="7" borderId="45" xfId="0" applyFont="1" applyFill="1" applyBorder="1" applyAlignment="1">
      <alignment horizontal="left"/>
    </xf>
    <xf numFmtId="0" fontId="2" fillId="8" borderId="45" xfId="0" applyFont="1" applyFill="1" applyBorder="1"/>
    <xf numFmtId="0" fontId="2" fillId="9" borderId="45" xfId="0" applyFont="1" applyFill="1" applyBorder="1" applyAlignment="1">
      <alignment horizontal="left"/>
    </xf>
    <xf numFmtId="0" fontId="2" fillId="10" borderId="45" xfId="0" applyFont="1" applyFill="1" applyBorder="1"/>
    <xf numFmtId="0" fontId="2" fillId="11" borderId="45" xfId="0" applyFont="1" applyFill="1" applyBorder="1" applyAlignment="1">
      <alignment horizontal="left"/>
    </xf>
    <xf numFmtId="0" fontId="2" fillId="12" borderId="45" xfId="0" applyFont="1" applyFill="1" applyBorder="1"/>
    <xf numFmtId="2" fontId="2" fillId="0" borderId="68" xfId="0" applyNumberFormat="1" applyFont="1" applyBorder="1"/>
    <xf numFmtId="0" fontId="2" fillId="0" borderId="180" xfId="0" applyFont="1" applyBorder="1"/>
    <xf numFmtId="0" fontId="6" fillId="13" borderId="42" xfId="0" applyFont="1" applyFill="1" applyBorder="1" applyAlignment="1">
      <alignment horizontal="center" vertical="center" wrapText="1"/>
    </xf>
    <xf numFmtId="0" fontId="6" fillId="21" borderId="42" xfId="0" applyFont="1" applyFill="1" applyBorder="1" applyAlignment="1">
      <alignment horizontal="center" vertical="center" wrapText="1"/>
    </xf>
    <xf numFmtId="4" fontId="2" fillId="0" borderId="53" xfId="0" applyNumberFormat="1" applyFont="1" applyBorder="1"/>
    <xf numFmtId="4" fontId="2" fillId="0" borderId="54" xfId="0" applyNumberFormat="1" applyFont="1" applyBorder="1"/>
    <xf numFmtId="4" fontId="2" fillId="0" borderId="42" xfId="0" applyNumberFormat="1" applyFont="1" applyBorder="1"/>
    <xf numFmtId="2" fontId="2" fillId="14" borderId="182" xfId="0" applyNumberFormat="1" applyFont="1" applyFill="1" applyBorder="1"/>
    <xf numFmtId="2" fontId="2" fillId="14" borderId="60" xfId="0" applyNumberFormat="1" applyFont="1" applyFill="1" applyBorder="1"/>
    <xf numFmtId="164" fontId="2" fillId="0" borderId="169" xfId="0" applyNumberFormat="1" applyFont="1" applyBorder="1"/>
    <xf numFmtId="2" fontId="2" fillId="14" borderId="120" xfId="0" applyNumberFormat="1" applyFont="1" applyFill="1" applyBorder="1"/>
    <xf numFmtId="2" fontId="2" fillId="0" borderId="153" xfId="0" applyNumberFormat="1" applyFont="1" applyBorder="1"/>
    <xf numFmtId="0" fontId="2" fillId="0" borderId="153" xfId="0" applyFont="1" applyBorder="1"/>
    <xf numFmtId="0" fontId="2" fillId="15" borderId="186" xfId="0" applyFont="1" applyFill="1" applyBorder="1"/>
    <xf numFmtId="0" fontId="2" fillId="0" borderId="186" xfId="0" applyFont="1" applyBorder="1"/>
    <xf numFmtId="0" fontId="2" fillId="0" borderId="121" xfId="0" applyFont="1" applyBorder="1"/>
    <xf numFmtId="0" fontId="2" fillId="0" borderId="106" xfId="0" applyFont="1" applyBorder="1"/>
    <xf numFmtId="0" fontId="2" fillId="0" borderId="98" xfId="0" applyFont="1" applyBorder="1" applyAlignment="1">
      <alignment horizontal="center"/>
    </xf>
    <xf numFmtId="0" fontId="2" fillId="0" borderId="170" xfId="0" applyFont="1" applyBorder="1" applyAlignment="1">
      <alignment horizontal="left"/>
    </xf>
    <xf numFmtId="0" fontId="2" fillId="0" borderId="169" xfId="0" applyFont="1" applyBorder="1"/>
    <xf numFmtId="0" fontId="0" fillId="0" borderId="187" xfId="0" applyBorder="1"/>
    <xf numFmtId="0" fontId="0" fillId="0" borderId="188" xfId="0" applyBorder="1"/>
    <xf numFmtId="0" fontId="0" fillId="0" borderId="187" xfId="0" pivotButton="1" applyBorder="1"/>
    <xf numFmtId="0" fontId="0" fillId="0" borderId="189" xfId="0" applyBorder="1"/>
    <xf numFmtId="0" fontId="0" fillId="0" borderId="190" xfId="0" applyBorder="1"/>
    <xf numFmtId="0" fontId="0" fillId="0" borderId="191" xfId="0" applyBorder="1"/>
    <xf numFmtId="0" fontId="0" fillId="0" borderId="187" xfId="0" applyNumberFormat="1" applyBorder="1"/>
    <xf numFmtId="0" fontId="0" fillId="0" borderId="190" xfId="0" applyNumberFormat="1" applyBorder="1"/>
    <xf numFmtId="0" fontId="0" fillId="0" borderId="191" xfId="0" applyNumberFormat="1" applyBorder="1"/>
    <xf numFmtId="0" fontId="0" fillId="0" borderId="192" xfId="0" applyBorder="1"/>
    <xf numFmtId="0" fontId="0" fillId="0" borderId="193" xfId="0" applyBorder="1"/>
    <xf numFmtId="0" fontId="0" fillId="0" borderId="192" xfId="0" applyNumberFormat="1" applyBorder="1"/>
    <xf numFmtId="0" fontId="0" fillId="0" borderId="194" xfId="0" applyNumberFormat="1" applyBorder="1"/>
    <xf numFmtId="0" fontId="0" fillId="0" borderId="195" xfId="0" applyNumberFormat="1" applyBorder="1"/>
    <xf numFmtId="165" fontId="21" fillId="0" borderId="85" xfId="0" applyNumberFormat="1" applyFont="1" applyBorder="1" applyAlignment="1">
      <alignment horizontal="center" vertical="top"/>
    </xf>
    <xf numFmtId="0" fontId="2" fillId="12" borderId="15" xfId="0" applyFont="1" applyFill="1" applyBorder="1" applyAlignment="1">
      <alignment horizontal="left" vertical="center"/>
    </xf>
    <xf numFmtId="0" fontId="7" fillId="0" borderId="16" xfId="0" applyFont="1" applyBorder="1"/>
    <xf numFmtId="0" fontId="7" fillId="0" borderId="17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2" fillId="0" borderId="9" xfId="0" applyFont="1" applyBorder="1" applyAlignment="1">
      <alignment horizontal="left" vertical="center"/>
    </xf>
    <xf numFmtId="0" fontId="7" fillId="0" borderId="10" xfId="0" applyFont="1" applyBorder="1"/>
    <xf numFmtId="0" fontId="7" fillId="0" borderId="11" xfId="0" applyFont="1" applyBorder="1"/>
    <xf numFmtId="0" fontId="2" fillId="2" borderId="12" xfId="0" applyFont="1" applyFill="1" applyBorder="1" applyAlignment="1">
      <alignment horizontal="left" vertical="center"/>
    </xf>
    <xf numFmtId="0" fontId="7" fillId="0" borderId="13" xfId="0" applyFont="1" applyBorder="1"/>
    <xf numFmtId="0" fontId="7" fillId="0" borderId="14" xfId="0" applyFont="1" applyBorder="1"/>
    <xf numFmtId="0" fontId="2" fillId="3" borderId="12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6" borderId="12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8" borderId="12" xfId="0" applyFont="1" applyFill="1" applyBorder="1" applyAlignment="1">
      <alignment horizontal="left" vertical="center"/>
    </xf>
    <xf numFmtId="0" fontId="2" fillId="9" borderId="12" xfId="0" applyFont="1" applyFill="1" applyBorder="1" applyAlignment="1">
      <alignment horizontal="left" vertical="center"/>
    </xf>
    <xf numFmtId="0" fontId="2" fillId="10" borderId="12" xfId="0" applyFont="1" applyFill="1" applyBorder="1" applyAlignment="1">
      <alignment horizontal="left" vertical="center"/>
    </xf>
    <xf numFmtId="0" fontId="2" fillId="11" borderId="12" xfId="0" applyFont="1" applyFill="1" applyBorder="1" applyAlignment="1">
      <alignment horizontal="left" vertical="center"/>
    </xf>
    <xf numFmtId="0" fontId="7" fillId="0" borderId="184" xfId="0" applyFont="1" applyBorder="1" applyAlignment="1">
      <alignment horizontal="left"/>
    </xf>
    <xf numFmtId="0" fontId="11" fillId="11" borderId="36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6" fillId="16" borderId="37" xfId="0" applyFont="1" applyFill="1" applyBorder="1" applyAlignment="1">
      <alignment horizontal="center" vertical="center" wrapText="1"/>
    </xf>
    <xf numFmtId="0" fontId="7" fillId="0" borderId="44" xfId="0" applyFont="1" applyBorder="1"/>
    <xf numFmtId="0" fontId="6" fillId="13" borderId="35" xfId="0" applyFont="1" applyFill="1" applyBorder="1" applyAlignment="1">
      <alignment horizontal="center" vertical="center" wrapText="1"/>
    </xf>
    <xf numFmtId="0" fontId="7" fillId="0" borderId="40" xfId="0" applyFont="1" applyBorder="1"/>
    <xf numFmtId="0" fontId="11" fillId="12" borderId="35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1" fillId="6" borderId="35" xfId="0" applyFont="1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 wrapText="1"/>
    </xf>
    <xf numFmtId="0" fontId="12" fillId="8" borderId="35" xfId="0" applyFont="1" applyFill="1" applyBorder="1" applyAlignment="1">
      <alignment horizontal="center" vertical="center" wrapText="1"/>
    </xf>
    <xf numFmtId="0" fontId="6" fillId="13" borderId="33" xfId="0" applyFont="1" applyFill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0" fontId="11" fillId="10" borderId="35" xfId="0" applyFont="1" applyFill="1" applyBorder="1" applyAlignment="1">
      <alignment horizontal="center" vertical="center" wrapText="1"/>
    </xf>
    <xf numFmtId="0" fontId="6" fillId="13" borderId="34" xfId="0" applyFont="1" applyFill="1" applyBorder="1" applyAlignment="1">
      <alignment horizontal="center" vertical="center"/>
    </xf>
    <xf numFmtId="0" fontId="7" fillId="0" borderId="41" xfId="0" applyFont="1" applyBorder="1"/>
    <xf numFmtId="0" fontId="6" fillId="15" borderId="33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12" fillId="8" borderId="33" xfId="0" applyFont="1" applyFill="1" applyBorder="1" applyAlignment="1">
      <alignment horizontal="center" vertical="center" wrapText="1"/>
    </xf>
    <xf numFmtId="0" fontId="12" fillId="9" borderId="33" xfId="0" applyFont="1" applyFill="1" applyBorder="1" applyAlignment="1">
      <alignment horizontal="center" vertical="center" wrapText="1"/>
    </xf>
    <xf numFmtId="0" fontId="11" fillId="10" borderId="33" xfId="0" applyFont="1" applyFill="1" applyBorder="1" applyAlignment="1">
      <alignment horizontal="center" vertical="center" wrapText="1"/>
    </xf>
    <xf numFmtId="0" fontId="11" fillId="11" borderId="33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11" fillId="12" borderId="33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1" fillId="6" borderId="33" xfId="0" applyFont="1" applyFill="1" applyBorder="1" applyAlignment="1">
      <alignment horizontal="center" vertical="center" wrapText="1"/>
    </xf>
    <xf numFmtId="0" fontId="6" fillId="13" borderId="30" xfId="0" applyFont="1" applyFill="1" applyBorder="1" applyAlignment="1">
      <alignment horizontal="center" vertical="center"/>
    </xf>
    <xf numFmtId="0" fontId="7" fillId="0" borderId="38" xfId="0" applyFont="1" applyBorder="1"/>
    <xf numFmtId="0" fontId="6" fillId="13" borderId="31" xfId="0" applyFont="1" applyFill="1" applyBorder="1" applyAlignment="1">
      <alignment horizontal="center"/>
    </xf>
    <xf numFmtId="0" fontId="7" fillId="0" borderId="32" xfId="0" applyFont="1" applyBorder="1"/>
    <xf numFmtId="0" fontId="6" fillId="3" borderId="33" xfId="0" applyFont="1" applyFill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left" vertical="center"/>
    </xf>
    <xf numFmtId="0" fontId="7" fillId="0" borderId="22" xfId="0" applyFont="1" applyBorder="1"/>
    <xf numFmtId="0" fontId="19" fillId="22" borderId="181" xfId="0" applyFont="1" applyFill="1" applyBorder="1" applyAlignment="1">
      <alignment horizontal="left" vertical="center"/>
    </xf>
    <xf numFmtId="0" fontId="2" fillId="14" borderId="15" xfId="0" applyFont="1" applyFill="1" applyBorder="1" applyAlignment="1">
      <alignment horizontal="left"/>
    </xf>
    <xf numFmtId="0" fontId="2" fillId="14" borderId="17" xfId="0" applyFont="1" applyFill="1" applyBorder="1" applyAlignment="1">
      <alignment horizontal="left"/>
    </xf>
    <xf numFmtId="0" fontId="6" fillId="13" borderId="23" xfId="0" applyFont="1" applyFill="1" applyBorder="1" applyAlignment="1">
      <alignment horizontal="left" vertical="center"/>
    </xf>
    <xf numFmtId="0" fontId="7" fillId="0" borderId="24" xfId="0" applyFont="1" applyBorder="1"/>
    <xf numFmtId="0" fontId="7" fillId="0" borderId="6" xfId="0" applyFont="1" applyBorder="1"/>
    <xf numFmtId="0" fontId="7" fillId="0" borderId="7" xfId="0" applyFont="1" applyBorder="1"/>
    <xf numFmtId="0" fontId="8" fillId="0" borderId="0" xfId="0" applyFont="1" applyAlignment="1">
      <alignment horizontal="center" vertical="top"/>
    </xf>
    <xf numFmtId="0" fontId="6" fillId="13" borderId="18" xfId="0" applyFont="1" applyFill="1" applyBorder="1" applyAlignment="1">
      <alignment horizontal="left" vertical="center"/>
    </xf>
    <xf numFmtId="0" fontId="7" fillId="0" borderId="19" xfId="0" applyFont="1" applyBorder="1"/>
    <xf numFmtId="0" fontId="2" fillId="14" borderId="9" xfId="0" applyFont="1" applyFill="1" applyBorder="1" applyAlignment="1">
      <alignment horizontal="left" vertical="center"/>
    </xf>
    <xf numFmtId="0" fontId="2" fillId="14" borderId="12" xfId="0" applyFont="1" applyFill="1" applyBorder="1" applyAlignment="1">
      <alignment horizontal="left" vertical="center"/>
    </xf>
    <xf numFmtId="0" fontId="2" fillId="0" borderId="62" xfId="0" applyFont="1" applyBorder="1" applyAlignment="1">
      <alignment horizontal="center"/>
    </xf>
    <xf numFmtId="0" fontId="7" fillId="0" borderId="63" xfId="0" applyFont="1" applyBorder="1"/>
    <xf numFmtId="0" fontId="2" fillId="0" borderId="183" xfId="0" applyFont="1" applyBorder="1" applyAlignment="1">
      <alignment horizontal="left"/>
    </xf>
    <xf numFmtId="0" fontId="2" fillId="0" borderId="183" xfId="0" applyFont="1" applyBorder="1" applyAlignment="1">
      <alignment horizontal="center"/>
    </xf>
    <xf numFmtId="0" fontId="7" fillId="0" borderId="184" xfId="0" applyFont="1" applyBorder="1"/>
    <xf numFmtId="0" fontId="20" fillId="0" borderId="18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13" borderId="82" xfId="0" applyFont="1" applyFill="1" applyBorder="1" applyAlignment="1">
      <alignment horizontal="center" vertical="center"/>
    </xf>
    <xf numFmtId="0" fontId="6" fillId="13" borderId="83" xfId="0" applyFont="1" applyFill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7" fillId="0" borderId="69" xfId="0" applyFont="1" applyBorder="1"/>
    <xf numFmtId="0" fontId="7" fillId="0" borderId="70" xfId="0" applyFont="1" applyBorder="1"/>
    <xf numFmtId="0" fontId="2" fillId="14" borderId="71" xfId="0" applyFont="1" applyFill="1" applyBorder="1" applyAlignment="1">
      <alignment horizontal="left" vertical="center"/>
    </xf>
    <xf numFmtId="0" fontId="7" fillId="0" borderId="72" xfId="0" applyFont="1" applyBorder="1"/>
    <xf numFmtId="0" fontId="7" fillId="0" borderId="73" xfId="0" applyFont="1" applyBorder="1"/>
    <xf numFmtId="0" fontId="7" fillId="0" borderId="78" xfId="0" applyFont="1" applyBorder="1"/>
    <xf numFmtId="0" fontId="7" fillId="0" borderId="8" xfId="0" applyFont="1" applyBorder="1"/>
    <xf numFmtId="0" fontId="6" fillId="13" borderId="79" xfId="0" applyFont="1" applyFill="1" applyBorder="1" applyAlignment="1">
      <alignment horizontal="center" vertical="center"/>
    </xf>
    <xf numFmtId="0" fontId="6" fillId="13" borderId="85" xfId="0" applyFont="1" applyFill="1" applyBorder="1" applyAlignment="1">
      <alignment horizontal="center" vertical="center"/>
    </xf>
    <xf numFmtId="0" fontId="6" fillId="13" borderId="84" xfId="0" applyFont="1" applyFill="1" applyBorder="1" applyAlignment="1">
      <alignment horizontal="center" vertical="center"/>
    </xf>
    <xf numFmtId="0" fontId="6" fillId="13" borderId="170" xfId="0" applyFont="1" applyFill="1" applyBorder="1" applyAlignment="1">
      <alignment horizontal="center" vertical="center"/>
    </xf>
    <xf numFmtId="0" fontId="6" fillId="13" borderId="103" xfId="0" applyFont="1" applyFill="1" applyBorder="1" applyAlignment="1">
      <alignment horizontal="center" vertical="center"/>
    </xf>
    <xf numFmtId="0" fontId="6" fillId="13" borderId="18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13" borderId="80" xfId="0" applyFont="1" applyFill="1" applyBorder="1" applyAlignment="1">
      <alignment horizontal="center" vertical="center"/>
    </xf>
    <xf numFmtId="0" fontId="7" fillId="0" borderId="81" xfId="0" applyFont="1" applyBorder="1"/>
    <xf numFmtId="0" fontId="7" fillId="0" borderId="83" xfId="0" applyFont="1" applyBorder="1"/>
    <xf numFmtId="0" fontId="2" fillId="14" borderId="97" xfId="0" applyFont="1" applyFill="1" applyBorder="1" applyAlignment="1">
      <alignment horizontal="left" vertical="center"/>
    </xf>
    <xf numFmtId="0" fontId="7" fillId="0" borderId="85" xfId="0" applyFont="1" applyBorder="1"/>
    <xf numFmtId="0" fontId="6" fillId="13" borderId="101" xfId="0" applyFont="1" applyFill="1" applyBorder="1" applyAlignment="1">
      <alignment horizontal="center" vertical="center"/>
    </xf>
    <xf numFmtId="0" fontId="7" fillId="0" borderId="102" xfId="0" applyFont="1" applyBorder="1"/>
    <xf numFmtId="0" fontId="7" fillId="0" borderId="84" xfId="0" applyFont="1" applyBorder="1"/>
    <xf numFmtId="0" fontId="7" fillId="0" borderId="107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01" xfId="0" applyFont="1" applyBorder="1" applyAlignment="1">
      <alignment horizontal="center" vertical="center"/>
    </xf>
    <xf numFmtId="0" fontId="7" fillId="0" borderId="108" xfId="0" applyFont="1" applyBorder="1"/>
    <xf numFmtId="0" fontId="7" fillId="0" borderId="109" xfId="0" applyFont="1" applyBorder="1"/>
    <xf numFmtId="0" fontId="7" fillId="0" borderId="110" xfId="0" applyFont="1" applyBorder="1"/>
    <xf numFmtId="0" fontId="6" fillId="13" borderId="111" xfId="0" applyFont="1" applyFill="1" applyBorder="1" applyAlignment="1">
      <alignment horizontal="left" vertical="center"/>
    </xf>
    <xf numFmtId="0" fontId="7" fillId="0" borderId="112" xfId="0" applyFont="1" applyBorder="1"/>
    <xf numFmtId="0" fontId="2" fillId="0" borderId="60" xfId="0" applyFont="1" applyBorder="1" applyAlignment="1">
      <alignment horizontal="center"/>
    </xf>
    <xf numFmtId="0" fontId="6" fillId="0" borderId="128" xfId="0" applyFont="1" applyBorder="1" applyAlignment="1">
      <alignment horizontal="center"/>
    </xf>
    <xf numFmtId="0" fontId="7" fillId="0" borderId="158" xfId="0" applyFont="1" applyBorder="1"/>
    <xf numFmtId="0" fontId="6" fillId="0" borderId="159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161" xfId="0" applyFont="1" applyBorder="1"/>
    <xf numFmtId="0" fontId="2" fillId="0" borderId="56" xfId="0" applyFont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0" fontId="6" fillId="13" borderId="151" xfId="0" applyFont="1" applyFill="1" applyBorder="1" applyAlignment="1">
      <alignment horizontal="left" vertical="center"/>
    </xf>
    <xf numFmtId="0" fontId="7" fillId="0" borderId="152" xfId="0" applyFont="1" applyBorder="1"/>
    <xf numFmtId="0" fontId="6" fillId="0" borderId="30" xfId="0" applyFont="1" applyBorder="1" applyAlignment="1">
      <alignment horizontal="center" vertical="center"/>
    </xf>
    <xf numFmtId="0" fontId="7" fillId="0" borderId="129" xfId="0" applyFont="1" applyBorder="1"/>
    <xf numFmtId="0" fontId="6" fillId="13" borderId="131" xfId="0" applyFont="1" applyFill="1" applyBorder="1" applyAlignment="1">
      <alignment horizontal="center" vertical="center"/>
    </xf>
    <xf numFmtId="0" fontId="7" fillId="0" borderId="141" xfId="0" applyFont="1" applyBorder="1"/>
    <xf numFmtId="0" fontId="1" fillId="17" borderId="101" xfId="0" applyFont="1" applyFill="1" applyBorder="1" applyAlignment="1">
      <alignment horizontal="center" vertical="center"/>
    </xf>
    <xf numFmtId="0" fontId="6" fillId="18" borderId="123" xfId="0" applyFont="1" applyFill="1" applyBorder="1" applyAlignment="1">
      <alignment horizontal="center"/>
    </xf>
    <xf numFmtId="0" fontId="7" fillId="0" borderId="124" xfId="0" applyFont="1" applyBorder="1"/>
    <xf numFmtId="0" fontId="6" fillId="13" borderId="127" xfId="0" applyFont="1" applyFill="1" applyBorder="1" applyAlignment="1">
      <alignment horizontal="center" vertical="center" wrapText="1"/>
    </xf>
    <xf numFmtId="0" fontId="7" fillId="0" borderId="134" xfId="0" applyFont="1" applyBorder="1"/>
    <xf numFmtId="0" fontId="6" fillId="13" borderId="128" xfId="0" applyFont="1" applyFill="1" applyBorder="1" applyAlignment="1">
      <alignment horizontal="center" vertical="center"/>
    </xf>
    <xf numFmtId="0" fontId="6" fillId="13" borderId="130" xfId="0" applyFont="1" applyFill="1" applyBorder="1" applyAlignment="1">
      <alignment horizontal="center" vertical="center"/>
    </xf>
    <xf numFmtId="0" fontId="6" fillId="0" borderId="164" xfId="0" applyFont="1" applyBorder="1" applyAlignment="1">
      <alignment horizontal="center"/>
    </xf>
    <xf numFmtId="0" fontId="7" fillId="0" borderId="165" xfId="0" applyFont="1" applyBorder="1"/>
    <xf numFmtId="0" fontId="7" fillId="0" borderId="166" xfId="0" applyFont="1" applyBorder="1"/>
    <xf numFmtId="0" fontId="6" fillId="15" borderId="167" xfId="0" applyFont="1" applyFill="1" applyBorder="1" applyAlignment="1">
      <alignment horizontal="center" vertical="center"/>
    </xf>
    <xf numFmtId="0" fontId="7" fillId="0" borderId="170" xfId="0" applyFont="1" applyBorder="1"/>
    <xf numFmtId="0" fontId="2" fillId="0" borderId="160" xfId="0" applyFont="1" applyBorder="1" applyAlignment="1">
      <alignment horizontal="center"/>
    </xf>
    <xf numFmtId="0" fontId="7" fillId="0" borderId="168" xfId="0" applyFont="1" applyBorder="1"/>
    <xf numFmtId="0" fontId="8" fillId="0" borderId="101" xfId="0" applyFont="1" applyBorder="1" applyAlignment="1">
      <alignment horizontal="center" vertical="center"/>
    </xf>
    <xf numFmtId="0" fontId="7" fillId="0" borderId="22" xfId="0" applyFont="1" applyBorder="1" applyAlignment="1">
      <alignment horizontal="left"/>
    </xf>
    <xf numFmtId="0" fontId="7" fillId="0" borderId="72" xfId="0" applyFont="1" applyBorder="1" applyAlignment="1">
      <alignment horizontal="left"/>
    </xf>
    <xf numFmtId="0" fontId="7" fillId="0" borderId="184" xfId="0" applyFont="1" applyBorder="1" applyAlignment="1">
      <alignment horizontal="center"/>
    </xf>
  </cellXfs>
  <cellStyles count="1">
    <cellStyle name="Normal" xfId="0" builtinId="0"/>
  </cellStyles>
  <dxfs count="12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ont>
        <b/>
      </font>
      <fill>
        <patternFill patternType="solid">
          <fgColor rgb="FFFF0000"/>
          <bgColor rgb="FFFF0000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C2D69B"/>
          <bgColor rgb="FFC2D69B"/>
        </patternFill>
      </fill>
    </dxf>
    <dxf>
      <font>
        <b/>
      </font>
      <fill>
        <patternFill patternType="solid">
          <fgColor rgb="FFFF0000"/>
          <bgColor rgb="FFFF0000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FF0000"/>
          <bgColor rgb="FFFF0000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/>
      </font>
      <fill>
        <patternFill patternType="solid">
          <fgColor rgb="FFFF0000"/>
          <bgColor rgb="FFFF0000"/>
        </patternFill>
      </fill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C2D69B"/>
          <bgColor rgb="FFC2D69B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366092"/>
          <bgColor rgb="FF366092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53734"/>
          <bgColor rgb="FF953734"/>
        </patternFill>
      </fill>
    </dxf>
    <dxf>
      <fill>
        <patternFill patternType="solid">
          <fgColor rgb="FF76923C"/>
          <bgColor rgb="FF76923C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5F497A"/>
          <bgColor rgb="FF5F497A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938953"/>
          <bgColor rgb="FF938953"/>
        </patternFill>
      </fill>
    </dxf>
    <dxf>
      <fill>
        <patternFill patternType="solid">
          <fgColor rgb="FFC2D69B"/>
          <bgColor rgb="FFC2D69B"/>
        </patternFill>
      </fill>
    </dxf>
  </dxfs>
  <tableStyles count="0" defaultTableStyle="TableStyleMedium2" defaultPivotStyle="PivotStyleLight16"/>
  <colors>
    <mruColors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337038</xdr:colOff>
      <xdr:row>29</xdr:row>
      <xdr:rowOff>161738</xdr:rowOff>
    </xdr:from>
    <xdr:to>
      <xdr:col>3</xdr:col>
      <xdr:colOff>439616</xdr:colOff>
      <xdr:row>32</xdr:row>
      <xdr:rowOff>112778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307" y="5503065"/>
          <a:ext cx="710713" cy="500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256855</xdr:colOff>
      <xdr:row>29</xdr:row>
      <xdr:rowOff>139129</xdr:rowOff>
    </xdr:from>
    <xdr:to>
      <xdr:col>3</xdr:col>
      <xdr:colOff>361726</xdr:colOff>
      <xdr:row>32</xdr:row>
      <xdr:rowOff>88640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911" y="5458146"/>
          <a:ext cx="714899" cy="4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.73\skytel\170.1.7.167\canonscan\DOCUME~1\Admin\LOCALS~1\Temp\notesFFF692\Users\SPIO00~1\AppData\Local\Temp\notesFFF692\Daily%20Accomplishments%20Report_Name_MMYYYY_Template_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1.73\skytel\170.1.7.167\canonscan\DOCUME~1\Admin\LOCALS~1\Temp\notesFFF692\Users\Maybank\AppData\Local\Temp\notesFFF692\Daily%20Accomplishment%20Report_Sample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Daily Accomplishment Report"/>
      <sheetName val="Attendance Report"/>
      <sheetName val="Attendance Report - Manager"/>
      <sheetName val="Billing"/>
      <sheetName val="Ref"/>
    </sheetNames>
    <sheetDataSet>
      <sheetData sheetId="0" refreshError="1"/>
      <sheetData sheetId="1"/>
      <sheetData sheetId="2"/>
      <sheetData sheetId="3" refreshError="1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DTR-Detailed"/>
      <sheetName val="Attendance Report"/>
      <sheetName val="DTR"/>
      <sheetName val="Ref"/>
    </sheetNames>
    <sheetDataSet>
      <sheetData sheetId="0" refreshError="1"/>
      <sheetData sheetId="1"/>
      <sheetData sheetId="2" refreshError="1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PI" refreshedDate="45992.696745486108" refreshedVersion="5" recordCount="90">
  <cacheSource type="worksheet">
    <worksheetSource ref="B3:J93" sheet="Summary"/>
  </cacheSource>
  <cacheFields count="9">
    <cacheField name="Cost Center" numFmtId="0">
      <sharedItems containsMixedTypes="1" containsNumber="1" containsInteger="1" minValue="0" maxValue="0" count="3">
        <s v="OP - IT"/>
        <n v="0"/>
        <e v="#REF!"/>
      </sharedItems>
    </cacheField>
    <cacheField name="Budget To Be Drawn Form" numFmtId="0">
      <sharedItems containsMixedTypes="1" containsNumber="1" containsInteger="1" minValue="0" maxValue="0" count="2">
        <n v="0"/>
        <e v="#REF!"/>
      </sharedItems>
    </cacheField>
    <cacheField name="Regular Hrs" numFmtId="2">
      <sharedItems containsMixedTypes="1" containsNumber="1" minValue="0" maxValue="8"/>
    </cacheField>
    <cacheField name="OT Hrs" numFmtId="2">
      <sharedItems containsMixedTypes="1" containsNumber="1" containsInteger="1" minValue="0" maxValue="0"/>
    </cacheField>
    <cacheField name="Regular(Cost)" numFmtId="4">
      <sharedItems containsMixedTypes="1" containsNumber="1" containsInteger="1" minValue="0" maxValue="0"/>
    </cacheField>
    <cacheField name="OT(Cost) " numFmtId="4">
      <sharedItems containsMixedTypes="1" containsNumber="1" containsInteger="1" minValue="0" maxValue="0"/>
    </cacheField>
    <cacheField name="Total Cost" numFmtId="4">
      <sharedItems containsMixedTypes="1" containsNumber="1" containsInteger="1" minValue="0" maxValue="0"/>
    </cacheField>
    <cacheField name="12% VAT" numFmtId="4">
      <sharedItems containsMixedTypes="1" containsNumber="1" containsInteger="1" minValue="0" maxValue="0"/>
    </cacheField>
    <cacheField name="Final Cost" numFmtId="4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0"/>
    <n v="8"/>
    <n v="0"/>
    <n v="0"/>
    <n v="0"/>
    <n v="0"/>
    <n v="0"/>
    <n v="0"/>
  </r>
  <r>
    <x v="0"/>
    <x v="0"/>
    <n v="8"/>
    <n v="0"/>
    <n v="0"/>
    <n v="0"/>
    <n v="0"/>
    <n v="0"/>
    <n v="0"/>
  </r>
  <r>
    <x v="0"/>
    <x v="0"/>
    <n v="8"/>
    <n v="0"/>
    <n v="0"/>
    <n v="0"/>
    <n v="0"/>
    <n v="0"/>
    <n v="0"/>
  </r>
  <r>
    <x v="0"/>
    <x v="0"/>
    <n v="8"/>
    <n v="0"/>
    <n v="0"/>
    <n v="0"/>
    <n v="0"/>
    <n v="0"/>
    <n v="0"/>
  </r>
  <r>
    <x v="0"/>
    <x v="0"/>
    <n v="8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0"/>
    <x v="0"/>
    <n v="6.98"/>
    <n v="0"/>
    <n v="0"/>
    <n v="0"/>
    <n v="0"/>
    <n v="0"/>
    <n v="0"/>
  </r>
  <r>
    <x v="0"/>
    <x v="0"/>
    <n v="8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1"/>
    <x v="0"/>
    <n v="0"/>
    <n v="0"/>
    <n v="0"/>
    <n v="0"/>
    <n v="0"/>
    <n v="0"/>
    <n v="0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2"/>
    <x v="1"/>
    <e v="#REF!"/>
    <e v="#REF!"/>
    <e v="#REF!"/>
    <e v="#REF!"/>
    <e v="#REF!"/>
    <e v="#REF!"/>
    <e v="#REF!"/>
  </r>
  <r>
    <x v="1"/>
    <x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illing" cacheId="4" applyNumberFormats="0" applyBorderFormats="0" applyFontFormats="0" applyPatternFormats="0" applyAlignmentFormats="0" applyWidthHeightFormats="0" dataCaption="" updatedVersion="5" compact="0" compactData="0">
  <location ref="V4:AD8" firstHeaderRow="1" firstDataRow="2" firstDataCol="2"/>
  <pivotFields count="9">
    <pivotField name="Cost Center" axis="axisRow" compact="0" outline="0" multipleItemSelectionAllowed="1" showAll="0" sortType="ascending">
      <items count="4">
        <item x="1"/>
        <item h="1" x="0"/>
        <item h="1" x="2"/>
        <item t="default"/>
      </items>
    </pivotField>
    <pivotField name="Budget To Be Drawn Form" axis="axisRow" compact="0" outline="0" multipleItemSelectionAllowed="1" showAll="0" sortType="ascending">
      <items count="3">
        <item x="0"/>
        <item x="1"/>
        <item t="default"/>
      </items>
    </pivotField>
    <pivotField name="Regular Hrs" dataField="1" compact="0" outline="0" multipleItemSelectionAllowed="1" showAll="0"/>
    <pivotField name="OT Hrs" dataField="1" compact="0" numFmtId="2" outline="0" multipleItemSelectionAllowed="1" showAll="0"/>
    <pivotField name="Regular(Cost)" dataField="1" compact="0" outline="0" multipleItemSelectionAllowed="1" showAll="0"/>
    <pivotField name="OT(Cost) " dataField="1" compact="0" numFmtId="4" outline="0" multipleItemSelectionAllowed="1" showAll="0"/>
    <pivotField name="Total Cost" dataField="1" compact="0" outline="0" multipleItemSelectionAllowed="1" showAll="0"/>
    <pivotField name="12% VAT" dataField="1" compact="0" outline="0" multipleItemSelectionAllowed="1" showAll="0"/>
    <pivotField name="Final Cost" dataField="1" compact="0" outline="0" multipleItemSelectionAllowed="1" showAll="0"/>
  </pivotFields>
  <rowFields count="2">
    <field x="0"/>
    <field x="1"/>
  </rowFields>
  <rowItems count="3">
    <i>
      <x/>
      <x/>
    </i>
    <i t="default">
      <x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Regular Hours" fld="2" baseField="0"/>
    <dataField name="Regular Hrs(Cost)" fld="4" baseField="0"/>
    <dataField name="OT Hours" fld="3" baseField="0"/>
    <dataField name="OT Hrs(Cost) " fld="5" baseField="0"/>
    <dataField name="Total Costs" fld="6" baseField="0"/>
    <dataField name="VAT (12%)" fld="7" baseField="0"/>
    <dataField name="Final Costs" fld="8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00"/>
  <sheetViews>
    <sheetView showGridLines="0" workbookViewId="0">
      <selection activeCell="C29" sqref="C29:E29"/>
    </sheetView>
  </sheetViews>
  <sheetFormatPr defaultColWidth="14.42578125" defaultRowHeight="15" customHeight="1"/>
  <cols>
    <col min="1" max="1" width="2.42578125" customWidth="1"/>
    <col min="2" max="26" width="8.7109375" customWidth="1"/>
  </cols>
  <sheetData>
    <row r="1" spans="2:16" ht="14.25" customHeight="1"/>
    <row r="2" spans="2:16" ht="14.2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spans="2:16" ht="14.25" customHeight="1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2:16" ht="14.25" customHeight="1">
      <c r="B4" s="7" t="s">
        <v>2</v>
      </c>
      <c r="C4" s="8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 spans="2:16" ht="14.25" customHeight="1">
      <c r="B5" s="7" t="s">
        <v>3</v>
      </c>
      <c r="C5" s="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 spans="2:16" ht="14.25" customHeight="1">
      <c r="B6" s="7" t="s">
        <v>4</v>
      </c>
      <c r="C6" s="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2:16" ht="14.25" customHeight="1">
      <c r="B7" s="7" t="s">
        <v>5</v>
      </c>
      <c r="C7" s="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</row>
    <row r="8" spans="2:16" ht="14.25" customHeight="1">
      <c r="B8" s="7" t="s">
        <v>6</v>
      </c>
      <c r="C8" s="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</row>
    <row r="9" spans="2:16" ht="14.25" customHeight="1">
      <c r="B9" s="7" t="s">
        <v>7</v>
      </c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</row>
    <row r="10" spans="2:16" ht="14.25" customHeight="1">
      <c r="B10" s="7" t="s">
        <v>8</v>
      </c>
      <c r="C10" s="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/>
    </row>
    <row r="11" spans="2:16" ht="14.25" customHeight="1">
      <c r="B11" s="7"/>
      <c r="C11" s="9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/>
    </row>
    <row r="12" spans="2:16" ht="14.25" customHeight="1">
      <c r="B12" s="7" t="s">
        <v>10</v>
      </c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/>
    </row>
    <row r="13" spans="2:16" ht="14.25" customHeight="1">
      <c r="B13" s="7" t="s">
        <v>11</v>
      </c>
      <c r="C13" s="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4" spans="2:16" ht="14.25" customHeight="1">
      <c r="B14" s="7" t="s">
        <v>12</v>
      </c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/>
    </row>
    <row r="15" spans="2:16" ht="14.25" customHeight="1">
      <c r="B15" s="7" t="s">
        <v>13</v>
      </c>
      <c r="C15" s="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/>
    </row>
    <row r="16" spans="2:16" ht="14.25" customHeight="1">
      <c r="B16" s="4" t="s">
        <v>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/>
    </row>
    <row r="17" spans="2:16" ht="14.25" customHeight="1">
      <c r="B17" s="7" t="s">
        <v>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/>
    </row>
    <row r="18" spans="2:16" ht="14.25" customHeight="1">
      <c r="B18" s="7" t="s">
        <v>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/>
    </row>
    <row r="19" spans="2:16" ht="14.25" customHeight="1">
      <c r="B19" s="7" t="s">
        <v>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/>
    </row>
    <row r="20" spans="2:16" ht="14.25" customHeight="1">
      <c r="B20" s="10" t="s">
        <v>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</row>
    <row r="21" spans="2:16" ht="14.25" customHeight="1">
      <c r="B21" s="10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/>
    </row>
    <row r="22" spans="2:16" ht="14.25" customHeight="1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</row>
    <row r="23" spans="2:16" ht="14.25" customHeight="1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6" ht="14.25" customHeight="1">
      <c r="B24" s="288" t="s">
        <v>19</v>
      </c>
      <c r="C24" s="289"/>
    </row>
    <row r="25" spans="2:16" ht="6.75" customHeight="1">
      <c r="B25" s="14"/>
      <c r="C25" s="14"/>
    </row>
    <row r="26" spans="2:16" ht="14.25" customHeight="1">
      <c r="C26" s="290" t="s">
        <v>20</v>
      </c>
      <c r="D26" s="291"/>
      <c r="E26" s="292"/>
    </row>
    <row r="27" spans="2:16" ht="14.25" customHeight="1">
      <c r="C27" s="293" t="s">
        <v>21</v>
      </c>
      <c r="D27" s="294"/>
      <c r="E27" s="295"/>
    </row>
    <row r="28" spans="2:16" ht="14.25" customHeight="1">
      <c r="C28" s="296" t="s">
        <v>22</v>
      </c>
      <c r="D28" s="294"/>
      <c r="E28" s="295"/>
    </row>
    <row r="29" spans="2:16" ht="14.25" customHeight="1">
      <c r="C29" s="297" t="s">
        <v>23</v>
      </c>
      <c r="D29" s="294"/>
      <c r="E29" s="295"/>
    </row>
    <row r="30" spans="2:16" ht="14.25" customHeight="1">
      <c r="C30" s="298" t="s">
        <v>24</v>
      </c>
      <c r="D30" s="294"/>
      <c r="E30" s="295"/>
    </row>
    <row r="31" spans="2:16" ht="14.25" customHeight="1">
      <c r="C31" s="299" t="s">
        <v>25</v>
      </c>
      <c r="D31" s="294"/>
      <c r="E31" s="295"/>
    </row>
    <row r="32" spans="2:16" ht="14.25" customHeight="1">
      <c r="C32" s="300" t="s">
        <v>26</v>
      </c>
      <c r="D32" s="294"/>
      <c r="E32" s="295"/>
    </row>
    <row r="33" spans="3:5" ht="14.25" customHeight="1">
      <c r="C33" s="301" t="s">
        <v>27</v>
      </c>
      <c r="D33" s="294"/>
      <c r="E33" s="295"/>
    </row>
    <row r="34" spans="3:5" ht="14.25" customHeight="1">
      <c r="C34" s="302" t="s">
        <v>28</v>
      </c>
      <c r="D34" s="294"/>
      <c r="E34" s="295"/>
    </row>
    <row r="35" spans="3:5" ht="14.25" customHeight="1">
      <c r="C35" s="303" t="s">
        <v>29</v>
      </c>
      <c r="D35" s="294"/>
      <c r="E35" s="295"/>
    </row>
    <row r="36" spans="3:5" ht="14.25" customHeight="1">
      <c r="C36" s="304" t="s">
        <v>30</v>
      </c>
      <c r="D36" s="294"/>
      <c r="E36" s="295"/>
    </row>
    <row r="37" spans="3:5" ht="14.25" customHeight="1">
      <c r="C37" s="285" t="s">
        <v>31</v>
      </c>
      <c r="D37" s="286"/>
      <c r="E37" s="287"/>
    </row>
    <row r="38" spans="3:5" ht="14.25" customHeight="1"/>
    <row r="39" spans="3:5" ht="14.25" customHeight="1"/>
    <row r="40" spans="3:5" ht="14.25" customHeight="1"/>
    <row r="41" spans="3:5" ht="14.25" customHeight="1"/>
    <row r="42" spans="3:5" ht="14.25" customHeight="1"/>
    <row r="43" spans="3:5" ht="14.25" customHeight="1"/>
    <row r="44" spans="3:5" ht="14.25" customHeight="1"/>
    <row r="45" spans="3:5" ht="14.25" customHeight="1"/>
    <row r="46" spans="3:5" ht="14.25" customHeight="1"/>
    <row r="47" spans="3:5" ht="14.25" customHeight="1"/>
    <row r="48" spans="3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C37:E37"/>
    <mergeCell ref="B24:C24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42"/>
  <sheetViews>
    <sheetView showGridLines="0" tabSelected="1" view="pageBreakPreview" zoomScale="59" zoomScaleNormal="150" zoomScaleSheetLayoutView="59" workbookViewId="0">
      <pane xSplit="4" ySplit="11" topLeftCell="E21" activePane="bottomRight" state="frozen"/>
      <selection pane="topRight" activeCell="E1" sqref="E1"/>
      <selection pane="bottomLeft" activeCell="A12" sqref="A12"/>
      <selection pane="bottomRight" activeCell="G34" sqref="G34"/>
    </sheetView>
  </sheetViews>
  <sheetFormatPr defaultColWidth="14.42578125" defaultRowHeight="15" customHeight="1"/>
  <cols>
    <col min="1" max="1" width="9.140625" customWidth="1"/>
    <col min="2" max="2" width="10.7109375" customWidth="1"/>
    <col min="3" max="3" width="9" customWidth="1"/>
    <col min="4" max="4" width="16.5703125" customWidth="1"/>
    <col min="5" max="5" width="13.140625" customWidth="1"/>
    <col min="6" max="17" width="10.7109375" customWidth="1"/>
    <col min="18" max="18" width="7.28515625" customWidth="1"/>
    <col min="19" max="19" width="20" customWidth="1"/>
    <col min="20" max="20" width="13.42578125" customWidth="1"/>
    <col min="21" max="21" width="15.28515625" customWidth="1"/>
    <col min="22" max="22" width="63.7109375" customWidth="1"/>
    <col min="23" max="23" width="5.42578125" customWidth="1"/>
    <col min="24" max="26" width="9.140625" hidden="1" customWidth="1"/>
    <col min="27" max="27" width="3" hidden="1" customWidth="1"/>
    <col min="28" max="33" width="9.140625" hidden="1" customWidth="1"/>
    <col min="34" max="34" width="9.7109375" hidden="1" customWidth="1"/>
    <col min="35" max="42" width="9.140625" hidden="1" customWidth="1"/>
  </cols>
  <sheetData>
    <row r="1" spans="1:42" ht="14.25" customHeight="1">
      <c r="A1" s="5"/>
      <c r="B1" s="349" t="s">
        <v>32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4.25" customHeight="1">
      <c r="A2" s="5"/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14.25" customHeight="1">
      <c r="A3" s="5"/>
      <c r="B3" s="350" t="s">
        <v>33</v>
      </c>
      <c r="C3" s="351"/>
      <c r="D3" s="352" t="s">
        <v>240</v>
      </c>
      <c r="E3" s="292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6"/>
      <c r="T3" s="16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14.25" customHeight="1">
      <c r="A4" s="5"/>
      <c r="B4" s="340" t="s">
        <v>34</v>
      </c>
      <c r="C4" s="341"/>
      <c r="D4" s="353" t="s">
        <v>35</v>
      </c>
      <c r="E4" s="29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6"/>
      <c r="T4" s="16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ht="14.25" customHeight="1">
      <c r="A5" s="5"/>
      <c r="B5" s="340" t="s">
        <v>36</v>
      </c>
      <c r="C5" s="341"/>
      <c r="D5" s="342" t="s">
        <v>231</v>
      </c>
      <c r="E5" s="342"/>
      <c r="F5" s="17"/>
      <c r="G5" s="17"/>
      <c r="H5" s="17"/>
      <c r="I5" s="17"/>
      <c r="J5" s="17"/>
      <c r="K5" s="18"/>
      <c r="L5" s="17"/>
      <c r="M5" s="17"/>
      <c r="N5" s="17"/>
      <c r="O5" s="17"/>
      <c r="P5" s="17"/>
      <c r="Q5" s="17"/>
      <c r="R5" s="17"/>
      <c r="S5" s="16"/>
      <c r="T5" s="16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ht="14.25" customHeight="1" thickBot="1">
      <c r="A6" s="5"/>
      <c r="B6" s="340" t="s">
        <v>37</v>
      </c>
      <c r="C6" s="341"/>
      <c r="D6" s="343" t="s">
        <v>38</v>
      </c>
      <c r="E6" s="344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6"/>
      <c r="T6" s="16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2" ht="14.25" customHeight="1" thickBot="1">
      <c r="A7" s="5"/>
      <c r="B7" s="345" t="s">
        <v>39</v>
      </c>
      <c r="C7" s="346"/>
      <c r="D7" s="19" t="s">
        <v>40</v>
      </c>
      <c r="E7" s="20" t="s">
        <v>41</v>
      </c>
      <c r="F7" s="21"/>
      <c r="G7" s="21"/>
      <c r="H7" s="21"/>
      <c r="I7" s="21"/>
      <c r="J7" s="21"/>
      <c r="K7" s="21"/>
      <c r="L7" s="22"/>
      <c r="M7" s="21"/>
      <c r="N7" s="21"/>
      <c r="O7" s="21"/>
      <c r="P7" s="21"/>
      <c r="Q7" s="21"/>
      <c r="R7" s="21"/>
      <c r="S7" s="21"/>
      <c r="T7" s="21"/>
      <c r="U7" s="5"/>
      <c r="V7" s="5" t="s">
        <v>244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ht="14.25" customHeight="1">
      <c r="A8" s="5"/>
      <c r="B8" s="347"/>
      <c r="C8" s="348"/>
      <c r="D8" s="118" t="s">
        <v>241</v>
      </c>
      <c r="E8" s="74" t="s">
        <v>243</v>
      </c>
      <c r="F8" s="24"/>
      <c r="G8" s="25" t="e">
        <f>DAY(D8)</f>
        <v>#VALUE!</v>
      </c>
      <c r="H8" s="25"/>
      <c r="I8" s="24"/>
      <c r="J8" s="24"/>
      <c r="K8" s="24"/>
      <c r="L8" s="24"/>
      <c r="M8" s="24"/>
      <c r="N8" s="24"/>
      <c r="O8" s="24"/>
      <c r="P8" s="24"/>
      <c r="Q8" s="24"/>
      <c r="R8" s="24"/>
      <c r="S8" s="26"/>
      <c r="T8" s="26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2" ht="14.25" customHeight="1">
      <c r="A9" s="5"/>
      <c r="B9" s="27"/>
      <c r="C9" s="27"/>
      <c r="D9" s="26"/>
      <c r="E9" s="26"/>
      <c r="F9" s="26"/>
      <c r="G9" s="26"/>
      <c r="H9" s="26"/>
      <c r="I9" s="26"/>
      <c r="J9" s="28"/>
      <c r="K9" s="28"/>
      <c r="L9" s="28"/>
      <c r="M9" s="28"/>
      <c r="N9" s="28"/>
      <c r="O9" s="28"/>
      <c r="P9" s="28"/>
      <c r="Q9" s="28"/>
      <c r="R9" s="26"/>
      <c r="S9" s="26"/>
      <c r="T9" s="26"/>
      <c r="U9" s="5"/>
      <c r="V9" s="5"/>
      <c r="W9" s="5"/>
      <c r="X9" s="5"/>
      <c r="Y9" s="5"/>
      <c r="Z9" s="5"/>
      <c r="AA9" s="5"/>
      <c r="AB9" s="29">
        <v>1.25</v>
      </c>
      <c r="AC9" s="30">
        <v>1.25</v>
      </c>
      <c r="AD9" s="30">
        <v>1.3</v>
      </c>
      <c r="AE9" s="30">
        <v>1.3</v>
      </c>
      <c r="AF9" s="30">
        <v>1.69</v>
      </c>
      <c r="AG9" s="30">
        <v>0.1</v>
      </c>
      <c r="AH9" s="30">
        <v>1.3</v>
      </c>
      <c r="AI9" s="30">
        <v>1.69</v>
      </c>
      <c r="AJ9" s="30">
        <v>1.5</v>
      </c>
      <c r="AK9" s="30">
        <v>1.95</v>
      </c>
      <c r="AL9" s="30">
        <v>2</v>
      </c>
      <c r="AM9" s="30">
        <v>2.6</v>
      </c>
      <c r="AN9" s="30">
        <v>2.6</v>
      </c>
      <c r="AO9" s="31">
        <v>3.38</v>
      </c>
      <c r="AP9" s="5"/>
    </row>
    <row r="10" spans="1:42" ht="15" customHeight="1">
      <c r="A10" s="5"/>
      <c r="B10" s="335" t="s">
        <v>42</v>
      </c>
      <c r="C10" s="337" t="s">
        <v>43</v>
      </c>
      <c r="D10" s="338"/>
      <c r="E10" s="339" t="s">
        <v>44</v>
      </c>
      <c r="F10" s="339" t="s">
        <v>45</v>
      </c>
      <c r="G10" s="330" t="s">
        <v>46</v>
      </c>
      <c r="H10" s="330" t="s">
        <v>47</v>
      </c>
      <c r="I10" s="331" t="s">
        <v>48</v>
      </c>
      <c r="J10" s="332" t="s">
        <v>49</v>
      </c>
      <c r="K10" s="333" t="s">
        <v>50</v>
      </c>
      <c r="L10" s="334" t="s">
        <v>51</v>
      </c>
      <c r="M10" s="325" t="s">
        <v>52</v>
      </c>
      <c r="N10" s="326" t="s">
        <v>53</v>
      </c>
      <c r="O10" s="327" t="s">
        <v>54</v>
      </c>
      <c r="P10" s="328" t="s">
        <v>55</v>
      </c>
      <c r="Q10" s="329" t="s">
        <v>56</v>
      </c>
      <c r="R10" s="318" t="s">
        <v>12</v>
      </c>
      <c r="S10" s="318" t="s">
        <v>10</v>
      </c>
      <c r="T10" s="319" t="s">
        <v>57</v>
      </c>
      <c r="U10" s="318" t="s">
        <v>11</v>
      </c>
      <c r="V10" s="322" t="s">
        <v>13</v>
      </c>
      <c r="W10" s="324"/>
      <c r="X10" s="5"/>
      <c r="Y10" s="5"/>
      <c r="Z10" s="5"/>
      <c r="AA10" s="5"/>
      <c r="AB10" s="310" t="s">
        <v>58</v>
      </c>
      <c r="AC10" s="310" t="s">
        <v>44</v>
      </c>
      <c r="AD10" s="310" t="s">
        <v>45</v>
      </c>
      <c r="AE10" s="310" t="s">
        <v>46</v>
      </c>
      <c r="AF10" s="310" t="s">
        <v>47</v>
      </c>
      <c r="AG10" s="312" t="s">
        <v>59</v>
      </c>
      <c r="AH10" s="313" t="s">
        <v>49</v>
      </c>
      <c r="AI10" s="314" t="s">
        <v>50</v>
      </c>
      <c r="AJ10" s="315" t="s">
        <v>51</v>
      </c>
      <c r="AK10" s="316" t="s">
        <v>52</v>
      </c>
      <c r="AL10" s="317" t="s">
        <v>53</v>
      </c>
      <c r="AM10" s="320" t="s">
        <v>54</v>
      </c>
      <c r="AN10" s="321" t="s">
        <v>60</v>
      </c>
      <c r="AO10" s="306" t="s">
        <v>61</v>
      </c>
      <c r="AP10" s="308" t="s">
        <v>62</v>
      </c>
    </row>
    <row r="11" spans="1:42" ht="14.25" customHeight="1" thickBot="1">
      <c r="A11" s="5"/>
      <c r="B11" s="336"/>
      <c r="C11" s="32" t="s">
        <v>63</v>
      </c>
      <c r="D11" s="32" t="s">
        <v>64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23"/>
      <c r="W11" s="311"/>
      <c r="X11" s="33" t="s">
        <v>65</v>
      </c>
      <c r="Y11" s="33" t="s">
        <v>66</v>
      </c>
      <c r="Z11" s="33" t="s">
        <v>67</v>
      </c>
      <c r="AA11" s="5"/>
      <c r="AB11" s="311"/>
      <c r="AC11" s="311"/>
      <c r="AD11" s="311"/>
      <c r="AE11" s="311"/>
      <c r="AF11" s="311"/>
      <c r="AG11" s="311"/>
      <c r="AH11" s="311"/>
      <c r="AI11" s="311"/>
      <c r="AJ11" s="311"/>
      <c r="AK11" s="311"/>
      <c r="AL11" s="311"/>
      <c r="AM11" s="311"/>
      <c r="AN11" s="311"/>
      <c r="AO11" s="307"/>
      <c r="AP11" s="309"/>
    </row>
    <row r="12" spans="1:42" ht="14.25" customHeight="1">
      <c r="A12" s="5"/>
      <c r="B12" s="88">
        <v>45962</v>
      </c>
      <c r="C12" s="34" t="s">
        <v>230</v>
      </c>
      <c r="D12" s="35"/>
      <c r="E12" s="36"/>
      <c r="F12" s="37"/>
      <c r="G12" s="37"/>
      <c r="H12" s="37"/>
      <c r="I12" s="37"/>
      <c r="J12" s="37"/>
      <c r="K12" s="37"/>
      <c r="L12" s="37"/>
      <c r="M12" s="38"/>
      <c r="N12" s="39"/>
      <c r="O12" s="37"/>
      <c r="P12" s="37"/>
      <c r="Q12" s="37"/>
      <c r="R12" s="37"/>
      <c r="S12" s="37"/>
      <c r="T12" s="40"/>
      <c r="U12" s="36"/>
      <c r="V12" s="357"/>
      <c r="W12" s="358"/>
      <c r="X12" s="41" t="e">
        <f t="shared" ref="X12:X26" si="0">ROUND(D12*Y12,2)</f>
        <v>#N/A</v>
      </c>
      <c r="Y12" s="42" t="e">
        <f>VLOOKUP(Z12,Ref!$C$3:$D$14,2,FALSE)</f>
        <v>#N/A</v>
      </c>
      <c r="Z12" s="43" t="e">
        <f>VLOOKUP(B12,Ref!$F$3:$H$367,3,FALSE)</f>
        <v>#N/A</v>
      </c>
      <c r="AA12" s="5"/>
      <c r="AB12" s="44">
        <f t="shared" ref="AB12:AB26" si="1">(D12*$AB$9)</f>
        <v>0</v>
      </c>
      <c r="AC12" s="45">
        <f t="shared" ref="AC12:AC26" si="2">(E12*$AC$9)</f>
        <v>0</v>
      </c>
      <c r="AD12" s="45">
        <f t="shared" ref="AD12:AD26" si="3">(F12*$AD$9)</f>
        <v>0</v>
      </c>
      <c r="AE12" s="45">
        <f t="shared" ref="AE12:AE26" si="4">(G12*$AE$9)</f>
        <v>0</v>
      </c>
      <c r="AF12" s="45">
        <f t="shared" ref="AF12:AF26" si="5">(H12*$AF$9)</f>
        <v>0</v>
      </c>
      <c r="AG12" s="45">
        <f t="shared" ref="AG12:AG26" si="6">(I12*$AG$9)</f>
        <v>0</v>
      </c>
      <c r="AH12" s="45">
        <f t="shared" ref="AH12:AH26" si="7">(J12*$AH$9)</f>
        <v>0</v>
      </c>
      <c r="AI12" s="45">
        <f t="shared" ref="AI12:AI26" si="8">(K12*$AI$9)</f>
        <v>0</v>
      </c>
      <c r="AJ12" s="45">
        <f t="shared" ref="AJ12:AJ26" si="9">(L12*$AJ$9)</f>
        <v>0</v>
      </c>
      <c r="AK12" s="45">
        <f t="shared" ref="AK12:AK26" si="10">(M12*$AK$9)</f>
        <v>0</v>
      </c>
      <c r="AL12" s="45">
        <f t="shared" ref="AL12:AL26" si="11">(N12*$AL$9)</f>
        <v>0</v>
      </c>
      <c r="AM12" s="45">
        <f t="shared" ref="AM12:AM26" si="12">(O12*$AM$9)</f>
        <v>0</v>
      </c>
      <c r="AN12" s="45">
        <f t="shared" ref="AN12:AN26" si="13">(P12*$AN$9)</f>
        <v>0</v>
      </c>
      <c r="AO12" s="46">
        <f t="shared" ref="AO12:AO26" si="14">(Q12*$AO$9)</f>
        <v>0</v>
      </c>
      <c r="AP12" s="47">
        <f t="shared" ref="AP12:AP26" si="15">SUM(AB12:AO12)</f>
        <v>0</v>
      </c>
    </row>
    <row r="13" spans="1:42" ht="14.25" customHeight="1">
      <c r="A13" s="5"/>
      <c r="B13" s="97">
        <v>45963</v>
      </c>
      <c r="C13" s="34" t="s">
        <v>230</v>
      </c>
      <c r="D13" s="48"/>
      <c r="E13" s="36"/>
      <c r="F13" s="37"/>
      <c r="G13" s="49"/>
      <c r="H13" s="37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37"/>
      <c r="T13" s="40"/>
      <c r="U13" s="36"/>
      <c r="V13" s="357"/>
      <c r="W13" s="358"/>
      <c r="X13" s="50" t="e">
        <f t="shared" si="0"/>
        <v>#N/A</v>
      </c>
      <c r="Y13" s="51" t="e">
        <f>VLOOKUP(Z13,Ref!$C$3:$D$14,2,FALSE)</f>
        <v>#N/A</v>
      </c>
      <c r="Z13" s="40" t="e">
        <f>VLOOKUP(B13,Ref!$F$3:$H$367,3,FALSE)</f>
        <v>#N/A</v>
      </c>
      <c r="AA13" s="5"/>
      <c r="AB13" s="52">
        <f t="shared" si="1"/>
        <v>0</v>
      </c>
      <c r="AC13" s="51">
        <f t="shared" si="2"/>
        <v>0</v>
      </c>
      <c r="AD13" s="51">
        <f t="shared" si="3"/>
        <v>0</v>
      </c>
      <c r="AE13" s="51">
        <f t="shared" si="4"/>
        <v>0</v>
      </c>
      <c r="AF13" s="51">
        <f t="shared" si="5"/>
        <v>0</v>
      </c>
      <c r="AG13" s="51">
        <f t="shared" si="6"/>
        <v>0</v>
      </c>
      <c r="AH13" s="51">
        <f t="shared" si="7"/>
        <v>0</v>
      </c>
      <c r="AI13" s="51">
        <f t="shared" si="8"/>
        <v>0</v>
      </c>
      <c r="AJ13" s="51">
        <f t="shared" si="9"/>
        <v>0</v>
      </c>
      <c r="AK13" s="51">
        <f t="shared" si="10"/>
        <v>0</v>
      </c>
      <c r="AL13" s="51">
        <f t="shared" si="11"/>
        <v>0</v>
      </c>
      <c r="AM13" s="51">
        <f t="shared" si="12"/>
        <v>0</v>
      </c>
      <c r="AN13" s="51">
        <f t="shared" si="13"/>
        <v>0</v>
      </c>
      <c r="AO13" s="53">
        <f t="shared" si="14"/>
        <v>0</v>
      </c>
      <c r="AP13" s="54">
        <f t="shared" si="15"/>
        <v>0</v>
      </c>
    </row>
    <row r="14" spans="1:42" ht="14.25" customHeight="1">
      <c r="A14" s="5"/>
      <c r="B14" s="97">
        <v>45964</v>
      </c>
      <c r="C14" s="34">
        <v>8</v>
      </c>
      <c r="D14" s="48"/>
      <c r="E14" s="36"/>
      <c r="F14" s="37"/>
      <c r="G14" s="49"/>
      <c r="H14" s="37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37" t="s">
        <v>68</v>
      </c>
      <c r="T14" s="40"/>
      <c r="U14" s="36"/>
      <c r="V14" s="359" t="s">
        <v>236</v>
      </c>
      <c r="W14" s="358"/>
      <c r="X14" s="50" t="e">
        <f t="shared" si="0"/>
        <v>#N/A</v>
      </c>
      <c r="Y14" s="51" t="e">
        <f>VLOOKUP(Z14,Ref!$C$3:$D$14,2,FALSE)</f>
        <v>#N/A</v>
      </c>
      <c r="Z14" s="40" t="e">
        <f>VLOOKUP(B14,Ref!$F$3:$H$367,3,FALSE)</f>
        <v>#N/A</v>
      </c>
      <c r="AA14" s="5"/>
      <c r="AB14" s="52">
        <f t="shared" si="1"/>
        <v>0</v>
      </c>
      <c r="AC14" s="51">
        <f t="shared" si="2"/>
        <v>0</v>
      </c>
      <c r="AD14" s="51">
        <f t="shared" si="3"/>
        <v>0</v>
      </c>
      <c r="AE14" s="51">
        <f t="shared" si="4"/>
        <v>0</v>
      </c>
      <c r="AF14" s="51">
        <f t="shared" si="5"/>
        <v>0</v>
      </c>
      <c r="AG14" s="51">
        <f t="shared" si="6"/>
        <v>0</v>
      </c>
      <c r="AH14" s="51">
        <f t="shared" si="7"/>
        <v>0</v>
      </c>
      <c r="AI14" s="51">
        <f t="shared" si="8"/>
        <v>0</v>
      </c>
      <c r="AJ14" s="51">
        <f t="shared" si="9"/>
        <v>0</v>
      </c>
      <c r="AK14" s="51">
        <f t="shared" si="10"/>
        <v>0</v>
      </c>
      <c r="AL14" s="51">
        <f t="shared" si="11"/>
        <v>0</v>
      </c>
      <c r="AM14" s="51">
        <f t="shared" si="12"/>
        <v>0</v>
      </c>
      <c r="AN14" s="51">
        <f t="shared" si="13"/>
        <v>0</v>
      </c>
      <c r="AO14" s="53">
        <f t="shared" si="14"/>
        <v>0</v>
      </c>
      <c r="AP14" s="54">
        <f t="shared" si="15"/>
        <v>0</v>
      </c>
    </row>
    <row r="15" spans="1:42" ht="14.25" customHeight="1">
      <c r="A15" s="5"/>
      <c r="B15" s="97">
        <v>45965</v>
      </c>
      <c r="C15" s="34">
        <v>8</v>
      </c>
      <c r="D15" s="48"/>
      <c r="E15" s="36"/>
      <c r="F15" s="37"/>
      <c r="G15" s="49"/>
      <c r="H15" s="37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37" t="s">
        <v>68</v>
      </c>
      <c r="T15" s="40"/>
      <c r="U15" s="36"/>
      <c r="V15" s="359" t="s">
        <v>236</v>
      </c>
      <c r="W15" s="358"/>
      <c r="X15" s="50" t="e">
        <f t="shared" si="0"/>
        <v>#N/A</v>
      </c>
      <c r="Y15" s="51" t="e">
        <f>VLOOKUP(Z15,Ref!$C$3:$D$14,2,FALSE)</f>
        <v>#N/A</v>
      </c>
      <c r="Z15" s="40" t="e">
        <f>VLOOKUP(B15,Ref!$F$3:$H$367,3,FALSE)</f>
        <v>#N/A</v>
      </c>
      <c r="AA15" s="5"/>
      <c r="AB15" s="52">
        <f t="shared" si="1"/>
        <v>0</v>
      </c>
      <c r="AC15" s="51">
        <f t="shared" si="2"/>
        <v>0</v>
      </c>
      <c r="AD15" s="51">
        <f t="shared" si="3"/>
        <v>0</v>
      </c>
      <c r="AE15" s="51">
        <f t="shared" si="4"/>
        <v>0</v>
      </c>
      <c r="AF15" s="51">
        <f t="shared" si="5"/>
        <v>0</v>
      </c>
      <c r="AG15" s="51">
        <f t="shared" si="6"/>
        <v>0</v>
      </c>
      <c r="AH15" s="51">
        <f t="shared" si="7"/>
        <v>0</v>
      </c>
      <c r="AI15" s="51">
        <f t="shared" si="8"/>
        <v>0</v>
      </c>
      <c r="AJ15" s="51">
        <f t="shared" si="9"/>
        <v>0</v>
      </c>
      <c r="AK15" s="51">
        <f t="shared" si="10"/>
        <v>0</v>
      </c>
      <c r="AL15" s="51">
        <f t="shared" si="11"/>
        <v>0</v>
      </c>
      <c r="AM15" s="51">
        <f t="shared" si="12"/>
        <v>0</v>
      </c>
      <c r="AN15" s="51">
        <f t="shared" si="13"/>
        <v>0</v>
      </c>
      <c r="AO15" s="53">
        <f t="shared" si="14"/>
        <v>0</v>
      </c>
      <c r="AP15" s="54">
        <f t="shared" si="15"/>
        <v>0</v>
      </c>
    </row>
    <row r="16" spans="1:42" ht="14.25" customHeight="1">
      <c r="A16" s="5"/>
      <c r="B16" s="97">
        <v>45966</v>
      </c>
      <c r="C16" s="34">
        <v>8</v>
      </c>
      <c r="D16" s="48"/>
      <c r="E16" s="36"/>
      <c r="F16" s="37"/>
      <c r="G16" s="49"/>
      <c r="H16" s="37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37" t="s">
        <v>68</v>
      </c>
      <c r="T16" s="40"/>
      <c r="U16" s="36"/>
      <c r="V16" s="357" t="s">
        <v>234</v>
      </c>
      <c r="W16" s="358"/>
      <c r="X16" s="50" t="e">
        <f t="shared" si="0"/>
        <v>#N/A</v>
      </c>
      <c r="Y16" s="51" t="e">
        <f>VLOOKUP(Z16,Ref!$C$3:$D$14,2,FALSE)</f>
        <v>#N/A</v>
      </c>
      <c r="Z16" s="40" t="e">
        <f>VLOOKUP(B16,Ref!$F$3:$H$367,3,FALSE)</f>
        <v>#N/A</v>
      </c>
      <c r="AA16" s="5"/>
      <c r="AB16" s="52">
        <f t="shared" si="1"/>
        <v>0</v>
      </c>
      <c r="AC16" s="51">
        <f t="shared" si="2"/>
        <v>0</v>
      </c>
      <c r="AD16" s="51">
        <f t="shared" si="3"/>
        <v>0</v>
      </c>
      <c r="AE16" s="51">
        <f t="shared" si="4"/>
        <v>0</v>
      </c>
      <c r="AF16" s="51">
        <f t="shared" si="5"/>
        <v>0</v>
      </c>
      <c r="AG16" s="51">
        <f t="shared" si="6"/>
        <v>0</v>
      </c>
      <c r="AH16" s="51">
        <f t="shared" si="7"/>
        <v>0</v>
      </c>
      <c r="AI16" s="51">
        <f t="shared" si="8"/>
        <v>0</v>
      </c>
      <c r="AJ16" s="51">
        <f t="shared" si="9"/>
        <v>0</v>
      </c>
      <c r="AK16" s="51">
        <f t="shared" si="10"/>
        <v>0</v>
      </c>
      <c r="AL16" s="51">
        <f t="shared" si="11"/>
        <v>0</v>
      </c>
      <c r="AM16" s="51">
        <f t="shared" si="12"/>
        <v>0</v>
      </c>
      <c r="AN16" s="51">
        <f t="shared" si="13"/>
        <v>0</v>
      </c>
      <c r="AO16" s="53">
        <f t="shared" si="14"/>
        <v>0</v>
      </c>
      <c r="AP16" s="54">
        <f t="shared" si="15"/>
        <v>0</v>
      </c>
    </row>
    <row r="17" spans="1:42" ht="14.25" customHeight="1">
      <c r="A17" s="5"/>
      <c r="B17" s="97">
        <v>45967</v>
      </c>
      <c r="C17" s="34">
        <v>8</v>
      </c>
      <c r="D17" s="48"/>
      <c r="E17" s="36"/>
      <c r="F17" s="37"/>
      <c r="G17" s="49"/>
      <c r="H17" s="37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37" t="s">
        <v>68</v>
      </c>
      <c r="T17" s="40"/>
      <c r="U17" s="36"/>
      <c r="V17" s="359" t="s">
        <v>236</v>
      </c>
      <c r="W17" s="358"/>
      <c r="X17" s="50" t="e">
        <f t="shared" si="0"/>
        <v>#N/A</v>
      </c>
      <c r="Y17" s="51" t="e">
        <f>VLOOKUP(Z17,Ref!$C$3:$D$14,2,FALSE)</f>
        <v>#N/A</v>
      </c>
      <c r="Z17" s="40" t="e">
        <f>VLOOKUP(B17,Ref!$F$3:$H$367,3,FALSE)</f>
        <v>#N/A</v>
      </c>
      <c r="AA17" s="5"/>
      <c r="AB17" s="52">
        <f t="shared" si="1"/>
        <v>0</v>
      </c>
      <c r="AC17" s="51">
        <f t="shared" si="2"/>
        <v>0</v>
      </c>
      <c r="AD17" s="51">
        <f t="shared" si="3"/>
        <v>0</v>
      </c>
      <c r="AE17" s="51">
        <f t="shared" si="4"/>
        <v>0</v>
      </c>
      <c r="AF17" s="51">
        <f t="shared" si="5"/>
        <v>0</v>
      </c>
      <c r="AG17" s="51">
        <f t="shared" si="6"/>
        <v>0</v>
      </c>
      <c r="AH17" s="51">
        <f t="shared" si="7"/>
        <v>0</v>
      </c>
      <c r="AI17" s="51">
        <f t="shared" si="8"/>
        <v>0</v>
      </c>
      <c r="AJ17" s="51">
        <f t="shared" si="9"/>
        <v>0</v>
      </c>
      <c r="AK17" s="51">
        <f t="shared" si="10"/>
        <v>0</v>
      </c>
      <c r="AL17" s="51">
        <f t="shared" si="11"/>
        <v>0</v>
      </c>
      <c r="AM17" s="51">
        <f t="shared" si="12"/>
        <v>0</v>
      </c>
      <c r="AN17" s="51">
        <f t="shared" si="13"/>
        <v>0</v>
      </c>
      <c r="AO17" s="53">
        <f t="shared" si="14"/>
        <v>0</v>
      </c>
      <c r="AP17" s="54">
        <f t="shared" si="15"/>
        <v>0</v>
      </c>
    </row>
    <row r="18" spans="1:42" ht="14.25" customHeight="1">
      <c r="A18" s="5"/>
      <c r="B18" s="97">
        <v>45968</v>
      </c>
      <c r="C18" s="34">
        <v>8</v>
      </c>
      <c r="D18" s="48"/>
      <c r="E18" s="36"/>
      <c r="F18" s="37"/>
      <c r="G18" s="49"/>
      <c r="H18" s="37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37" t="s">
        <v>68</v>
      </c>
      <c r="T18" s="40"/>
      <c r="U18" s="36"/>
      <c r="V18" s="359" t="s">
        <v>235</v>
      </c>
      <c r="W18" s="358"/>
      <c r="X18" s="50" t="e">
        <f t="shared" si="0"/>
        <v>#N/A</v>
      </c>
      <c r="Y18" s="51" t="e">
        <f>VLOOKUP(Z18,Ref!$C$3:$D$14,2,FALSE)</f>
        <v>#N/A</v>
      </c>
      <c r="Z18" s="40" t="e">
        <f>VLOOKUP(B18,Ref!$F$3:$H$367,3,FALSE)</f>
        <v>#N/A</v>
      </c>
      <c r="AA18" s="5"/>
      <c r="AB18" s="52">
        <f t="shared" si="1"/>
        <v>0</v>
      </c>
      <c r="AC18" s="51">
        <f t="shared" si="2"/>
        <v>0</v>
      </c>
      <c r="AD18" s="51">
        <f t="shared" si="3"/>
        <v>0</v>
      </c>
      <c r="AE18" s="51">
        <f t="shared" si="4"/>
        <v>0</v>
      </c>
      <c r="AF18" s="51">
        <f t="shared" si="5"/>
        <v>0</v>
      </c>
      <c r="AG18" s="51">
        <f t="shared" si="6"/>
        <v>0</v>
      </c>
      <c r="AH18" s="51">
        <f t="shared" si="7"/>
        <v>0</v>
      </c>
      <c r="AI18" s="51">
        <f t="shared" si="8"/>
        <v>0</v>
      </c>
      <c r="AJ18" s="51">
        <f t="shared" si="9"/>
        <v>0</v>
      </c>
      <c r="AK18" s="51">
        <f t="shared" si="10"/>
        <v>0</v>
      </c>
      <c r="AL18" s="51">
        <f t="shared" si="11"/>
        <v>0</v>
      </c>
      <c r="AM18" s="51">
        <f t="shared" si="12"/>
        <v>0</v>
      </c>
      <c r="AN18" s="51">
        <f t="shared" si="13"/>
        <v>0</v>
      </c>
      <c r="AO18" s="53">
        <f t="shared" si="14"/>
        <v>0</v>
      </c>
      <c r="AP18" s="54">
        <f t="shared" si="15"/>
        <v>0</v>
      </c>
    </row>
    <row r="19" spans="1:42" ht="14.25" customHeight="1">
      <c r="A19" s="5"/>
      <c r="B19" s="97">
        <v>45969</v>
      </c>
      <c r="C19" s="34" t="s">
        <v>230</v>
      </c>
      <c r="D19" s="48"/>
      <c r="E19" s="36"/>
      <c r="F19" s="37"/>
      <c r="G19" s="49"/>
      <c r="H19" s="37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37"/>
      <c r="T19" s="40"/>
      <c r="U19" s="36"/>
      <c r="V19" s="359"/>
      <c r="W19" s="358"/>
      <c r="X19" s="50" t="e">
        <f t="shared" si="0"/>
        <v>#N/A</v>
      </c>
      <c r="Y19" s="51" t="e">
        <f>VLOOKUP(Z19,Ref!$C$3:$D$14,2,FALSE)</f>
        <v>#N/A</v>
      </c>
      <c r="Z19" s="40" t="e">
        <f>VLOOKUP(B19,Ref!$F$3:$H$367,3,FALSE)</f>
        <v>#N/A</v>
      </c>
      <c r="AA19" s="5"/>
      <c r="AB19" s="52">
        <f t="shared" si="1"/>
        <v>0</v>
      </c>
      <c r="AC19" s="51">
        <f t="shared" si="2"/>
        <v>0</v>
      </c>
      <c r="AD19" s="51">
        <f t="shared" si="3"/>
        <v>0</v>
      </c>
      <c r="AE19" s="51">
        <f t="shared" si="4"/>
        <v>0</v>
      </c>
      <c r="AF19" s="51">
        <f t="shared" si="5"/>
        <v>0</v>
      </c>
      <c r="AG19" s="51">
        <f t="shared" si="6"/>
        <v>0</v>
      </c>
      <c r="AH19" s="51">
        <f t="shared" si="7"/>
        <v>0</v>
      </c>
      <c r="AI19" s="51">
        <f t="shared" si="8"/>
        <v>0</v>
      </c>
      <c r="AJ19" s="51">
        <f t="shared" si="9"/>
        <v>0</v>
      </c>
      <c r="AK19" s="51">
        <f t="shared" si="10"/>
        <v>0</v>
      </c>
      <c r="AL19" s="51">
        <f t="shared" si="11"/>
        <v>0</v>
      </c>
      <c r="AM19" s="51">
        <f t="shared" si="12"/>
        <v>0</v>
      </c>
      <c r="AN19" s="51">
        <f t="shared" si="13"/>
        <v>0</v>
      </c>
      <c r="AO19" s="53">
        <f t="shared" si="14"/>
        <v>0</v>
      </c>
      <c r="AP19" s="54">
        <f t="shared" si="15"/>
        <v>0</v>
      </c>
    </row>
    <row r="20" spans="1:42" ht="14.25" customHeight="1">
      <c r="A20" s="5"/>
      <c r="B20" s="97">
        <v>45970</v>
      </c>
      <c r="C20" s="34" t="s">
        <v>230</v>
      </c>
      <c r="D20" s="48"/>
      <c r="E20" s="36"/>
      <c r="F20" s="37"/>
      <c r="G20" s="49"/>
      <c r="H20" s="37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37"/>
      <c r="T20" s="40"/>
      <c r="U20" s="36"/>
      <c r="V20" s="359"/>
      <c r="W20" s="358"/>
      <c r="X20" s="50" t="e">
        <f t="shared" si="0"/>
        <v>#N/A</v>
      </c>
      <c r="Y20" s="51" t="e">
        <f>VLOOKUP(Z20,Ref!$C$3:$D$14,2,FALSE)</f>
        <v>#N/A</v>
      </c>
      <c r="Z20" s="40" t="e">
        <f>VLOOKUP(B20,Ref!$F$3:$H$367,3,FALSE)</f>
        <v>#N/A</v>
      </c>
      <c r="AA20" s="5"/>
      <c r="AB20" s="52">
        <f t="shared" si="1"/>
        <v>0</v>
      </c>
      <c r="AC20" s="51">
        <f t="shared" si="2"/>
        <v>0</v>
      </c>
      <c r="AD20" s="51">
        <f t="shared" si="3"/>
        <v>0</v>
      </c>
      <c r="AE20" s="51">
        <f t="shared" si="4"/>
        <v>0</v>
      </c>
      <c r="AF20" s="51">
        <f t="shared" si="5"/>
        <v>0</v>
      </c>
      <c r="AG20" s="51">
        <f t="shared" si="6"/>
        <v>0</v>
      </c>
      <c r="AH20" s="51">
        <f t="shared" si="7"/>
        <v>0</v>
      </c>
      <c r="AI20" s="51">
        <f t="shared" si="8"/>
        <v>0</v>
      </c>
      <c r="AJ20" s="51">
        <f t="shared" si="9"/>
        <v>0</v>
      </c>
      <c r="AK20" s="51">
        <f t="shared" si="10"/>
        <v>0</v>
      </c>
      <c r="AL20" s="51">
        <f t="shared" si="11"/>
        <v>0</v>
      </c>
      <c r="AM20" s="51">
        <f t="shared" si="12"/>
        <v>0</v>
      </c>
      <c r="AN20" s="51">
        <f t="shared" si="13"/>
        <v>0</v>
      </c>
      <c r="AO20" s="53">
        <f t="shared" si="14"/>
        <v>0</v>
      </c>
      <c r="AP20" s="54">
        <f t="shared" si="15"/>
        <v>0</v>
      </c>
    </row>
    <row r="21" spans="1:42" ht="14.25" customHeight="1">
      <c r="A21" s="5"/>
      <c r="B21" s="97">
        <v>45971</v>
      </c>
      <c r="C21" s="34" t="s">
        <v>230</v>
      </c>
      <c r="D21" s="48"/>
      <c r="E21" s="36"/>
      <c r="F21" s="37"/>
      <c r="G21" s="49"/>
      <c r="H21" s="37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37"/>
      <c r="T21" s="40"/>
      <c r="U21" s="36"/>
      <c r="V21" s="359"/>
      <c r="W21" s="358"/>
      <c r="X21" s="50" t="e">
        <f t="shared" si="0"/>
        <v>#N/A</v>
      </c>
      <c r="Y21" s="51" t="e">
        <f>VLOOKUP(Z21,Ref!$C$3:$D$14,2,FALSE)</f>
        <v>#N/A</v>
      </c>
      <c r="Z21" s="40" t="e">
        <f>VLOOKUP(B21,Ref!$F$3:$H$367,3,FALSE)</f>
        <v>#N/A</v>
      </c>
      <c r="AA21" s="5"/>
      <c r="AB21" s="52">
        <f t="shared" si="1"/>
        <v>0</v>
      </c>
      <c r="AC21" s="51">
        <f t="shared" si="2"/>
        <v>0</v>
      </c>
      <c r="AD21" s="51">
        <f t="shared" si="3"/>
        <v>0</v>
      </c>
      <c r="AE21" s="51">
        <f t="shared" si="4"/>
        <v>0</v>
      </c>
      <c r="AF21" s="51">
        <f t="shared" si="5"/>
        <v>0</v>
      </c>
      <c r="AG21" s="51">
        <f t="shared" si="6"/>
        <v>0</v>
      </c>
      <c r="AH21" s="51">
        <f t="shared" si="7"/>
        <v>0</v>
      </c>
      <c r="AI21" s="51">
        <f t="shared" si="8"/>
        <v>0</v>
      </c>
      <c r="AJ21" s="51">
        <f t="shared" si="9"/>
        <v>0</v>
      </c>
      <c r="AK21" s="51">
        <f t="shared" si="10"/>
        <v>0</v>
      </c>
      <c r="AL21" s="51">
        <f t="shared" si="11"/>
        <v>0</v>
      </c>
      <c r="AM21" s="51">
        <f t="shared" si="12"/>
        <v>0</v>
      </c>
      <c r="AN21" s="51">
        <f t="shared" si="13"/>
        <v>0</v>
      </c>
      <c r="AO21" s="53">
        <f t="shared" si="14"/>
        <v>0</v>
      </c>
      <c r="AP21" s="54">
        <f t="shared" si="15"/>
        <v>0</v>
      </c>
    </row>
    <row r="22" spans="1:42" ht="14.25" customHeight="1">
      <c r="A22" s="5"/>
      <c r="B22" s="97">
        <v>45972</v>
      </c>
      <c r="C22" s="34">
        <v>8</v>
      </c>
      <c r="D22" s="48"/>
      <c r="E22" s="36"/>
      <c r="F22" s="37"/>
      <c r="G22" s="49"/>
      <c r="H22" s="37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37" t="s">
        <v>68</v>
      </c>
      <c r="T22" s="40"/>
      <c r="U22" s="36"/>
      <c r="V22" s="359" t="s">
        <v>236</v>
      </c>
      <c r="W22" s="358"/>
      <c r="X22" s="50" t="e">
        <f t="shared" si="0"/>
        <v>#N/A</v>
      </c>
      <c r="Y22" s="51" t="e">
        <f>VLOOKUP(Z22,Ref!$C$3:$D$14,2,FALSE)</f>
        <v>#N/A</v>
      </c>
      <c r="Z22" s="40" t="e">
        <f>VLOOKUP(B22,Ref!$F$3:$H$367,3,FALSE)</f>
        <v>#N/A</v>
      </c>
      <c r="AA22" s="5"/>
      <c r="AB22" s="52">
        <f t="shared" si="1"/>
        <v>0</v>
      </c>
      <c r="AC22" s="51">
        <f t="shared" si="2"/>
        <v>0</v>
      </c>
      <c r="AD22" s="51">
        <f t="shared" si="3"/>
        <v>0</v>
      </c>
      <c r="AE22" s="51">
        <f t="shared" si="4"/>
        <v>0</v>
      </c>
      <c r="AF22" s="51">
        <f t="shared" si="5"/>
        <v>0</v>
      </c>
      <c r="AG22" s="51">
        <f t="shared" si="6"/>
        <v>0</v>
      </c>
      <c r="AH22" s="51">
        <f t="shared" si="7"/>
        <v>0</v>
      </c>
      <c r="AI22" s="51">
        <f t="shared" si="8"/>
        <v>0</v>
      </c>
      <c r="AJ22" s="51">
        <f t="shared" si="9"/>
        <v>0</v>
      </c>
      <c r="AK22" s="51">
        <f t="shared" si="10"/>
        <v>0</v>
      </c>
      <c r="AL22" s="51">
        <f t="shared" si="11"/>
        <v>0</v>
      </c>
      <c r="AM22" s="51">
        <f t="shared" si="12"/>
        <v>0</v>
      </c>
      <c r="AN22" s="51">
        <f t="shared" si="13"/>
        <v>0</v>
      </c>
      <c r="AO22" s="53">
        <f t="shared" si="14"/>
        <v>0</v>
      </c>
      <c r="AP22" s="54">
        <f t="shared" si="15"/>
        <v>0</v>
      </c>
    </row>
    <row r="23" spans="1:42" ht="14.25" customHeight="1">
      <c r="A23" s="5"/>
      <c r="B23" s="97">
        <v>45973</v>
      </c>
      <c r="C23" s="34">
        <v>5.83</v>
      </c>
      <c r="D23" s="48"/>
      <c r="E23" s="36"/>
      <c r="F23" s="37"/>
      <c r="G23" s="49"/>
      <c r="H23" s="37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37" t="s">
        <v>68</v>
      </c>
      <c r="T23" s="40"/>
      <c r="U23" s="36"/>
      <c r="V23" s="357" t="s">
        <v>237</v>
      </c>
      <c r="W23" s="358"/>
      <c r="X23" s="50" t="e">
        <f t="shared" si="0"/>
        <v>#N/A</v>
      </c>
      <c r="Y23" s="51" t="e">
        <f>VLOOKUP(Z23,Ref!$C$3:$D$14,2,FALSE)</f>
        <v>#N/A</v>
      </c>
      <c r="Z23" s="40" t="e">
        <f>VLOOKUP(B23,Ref!$F$3:$H$367,3,FALSE)</f>
        <v>#N/A</v>
      </c>
      <c r="AA23" s="5"/>
      <c r="AB23" s="52">
        <f t="shared" si="1"/>
        <v>0</v>
      </c>
      <c r="AC23" s="51">
        <f t="shared" si="2"/>
        <v>0</v>
      </c>
      <c r="AD23" s="51">
        <f t="shared" si="3"/>
        <v>0</v>
      </c>
      <c r="AE23" s="51">
        <f t="shared" si="4"/>
        <v>0</v>
      </c>
      <c r="AF23" s="51">
        <f t="shared" si="5"/>
        <v>0</v>
      </c>
      <c r="AG23" s="51">
        <f t="shared" si="6"/>
        <v>0</v>
      </c>
      <c r="AH23" s="51">
        <f t="shared" si="7"/>
        <v>0</v>
      </c>
      <c r="AI23" s="51">
        <f t="shared" si="8"/>
        <v>0</v>
      </c>
      <c r="AJ23" s="51">
        <f t="shared" si="9"/>
        <v>0</v>
      </c>
      <c r="AK23" s="51">
        <f t="shared" si="10"/>
        <v>0</v>
      </c>
      <c r="AL23" s="51">
        <f t="shared" si="11"/>
        <v>0</v>
      </c>
      <c r="AM23" s="51">
        <f t="shared" si="12"/>
        <v>0</v>
      </c>
      <c r="AN23" s="51">
        <f t="shared" si="13"/>
        <v>0</v>
      </c>
      <c r="AO23" s="53">
        <f t="shared" si="14"/>
        <v>0</v>
      </c>
      <c r="AP23" s="54">
        <f t="shared" si="15"/>
        <v>0</v>
      </c>
    </row>
    <row r="24" spans="1:42" ht="14.25" customHeight="1">
      <c r="A24" s="5"/>
      <c r="B24" s="97">
        <v>45974</v>
      </c>
      <c r="C24" s="34">
        <v>8</v>
      </c>
      <c r="D24" s="48"/>
      <c r="E24" s="36"/>
      <c r="F24" s="37"/>
      <c r="G24" s="49"/>
      <c r="H24" s="37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37" t="s">
        <v>68</v>
      </c>
      <c r="T24" s="40"/>
      <c r="U24" s="36"/>
      <c r="V24" s="357" t="s">
        <v>238</v>
      </c>
      <c r="W24" s="358"/>
      <c r="X24" s="50" t="e">
        <f t="shared" si="0"/>
        <v>#N/A</v>
      </c>
      <c r="Y24" s="51" t="e">
        <f>VLOOKUP(Z24,Ref!$C$3:$D$14,2,FALSE)</f>
        <v>#N/A</v>
      </c>
      <c r="Z24" s="40" t="e">
        <f>VLOOKUP(B24,Ref!$F$3:$H$367,3,FALSE)</f>
        <v>#N/A</v>
      </c>
      <c r="AA24" s="5"/>
      <c r="AB24" s="52">
        <f t="shared" si="1"/>
        <v>0</v>
      </c>
      <c r="AC24" s="51">
        <f t="shared" si="2"/>
        <v>0</v>
      </c>
      <c r="AD24" s="51">
        <f t="shared" si="3"/>
        <v>0</v>
      </c>
      <c r="AE24" s="51">
        <f t="shared" si="4"/>
        <v>0</v>
      </c>
      <c r="AF24" s="51">
        <f t="shared" si="5"/>
        <v>0</v>
      </c>
      <c r="AG24" s="51">
        <f t="shared" si="6"/>
        <v>0</v>
      </c>
      <c r="AH24" s="51">
        <f t="shared" si="7"/>
        <v>0</v>
      </c>
      <c r="AI24" s="51">
        <f t="shared" si="8"/>
        <v>0</v>
      </c>
      <c r="AJ24" s="51">
        <f t="shared" si="9"/>
        <v>0</v>
      </c>
      <c r="AK24" s="51">
        <f t="shared" si="10"/>
        <v>0</v>
      </c>
      <c r="AL24" s="51">
        <f t="shared" si="11"/>
        <v>0</v>
      </c>
      <c r="AM24" s="51">
        <f t="shared" si="12"/>
        <v>0</v>
      </c>
      <c r="AN24" s="51">
        <f t="shared" si="13"/>
        <v>0</v>
      </c>
      <c r="AO24" s="53">
        <f t="shared" si="14"/>
        <v>0</v>
      </c>
      <c r="AP24" s="54">
        <f t="shared" si="15"/>
        <v>0</v>
      </c>
    </row>
    <row r="25" spans="1:42" ht="14.25" customHeight="1">
      <c r="A25" s="5"/>
      <c r="B25" s="97">
        <v>45975</v>
      </c>
      <c r="C25" s="34">
        <v>8</v>
      </c>
      <c r="D25" s="48"/>
      <c r="E25" s="36"/>
      <c r="F25" s="37"/>
      <c r="G25" s="49"/>
      <c r="H25" s="37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37" t="s">
        <v>68</v>
      </c>
      <c r="T25" s="40"/>
      <c r="U25" s="36"/>
      <c r="V25" s="359" t="s">
        <v>239</v>
      </c>
      <c r="W25" s="358"/>
      <c r="X25" s="50" t="e">
        <f t="shared" si="0"/>
        <v>#N/A</v>
      </c>
      <c r="Y25" s="51" t="e">
        <f>VLOOKUP(Z25,Ref!$C$3:$D$14,2,FALSE)</f>
        <v>#N/A</v>
      </c>
      <c r="Z25" s="40" t="e">
        <f>VLOOKUP(B25,Ref!$F$3:$H$367,3,FALSE)</f>
        <v>#N/A</v>
      </c>
      <c r="AA25" s="5"/>
      <c r="AB25" s="52">
        <f t="shared" si="1"/>
        <v>0</v>
      </c>
      <c r="AC25" s="51">
        <f t="shared" si="2"/>
        <v>0</v>
      </c>
      <c r="AD25" s="51">
        <f t="shared" si="3"/>
        <v>0</v>
      </c>
      <c r="AE25" s="51">
        <f t="shared" si="4"/>
        <v>0</v>
      </c>
      <c r="AF25" s="51">
        <f t="shared" si="5"/>
        <v>0</v>
      </c>
      <c r="AG25" s="51">
        <f t="shared" si="6"/>
        <v>0</v>
      </c>
      <c r="AH25" s="51">
        <f t="shared" si="7"/>
        <v>0</v>
      </c>
      <c r="AI25" s="51">
        <f t="shared" si="8"/>
        <v>0</v>
      </c>
      <c r="AJ25" s="51">
        <f t="shared" si="9"/>
        <v>0</v>
      </c>
      <c r="AK25" s="51">
        <f t="shared" si="10"/>
        <v>0</v>
      </c>
      <c r="AL25" s="51">
        <f t="shared" si="11"/>
        <v>0</v>
      </c>
      <c r="AM25" s="51">
        <f t="shared" si="12"/>
        <v>0</v>
      </c>
      <c r="AN25" s="51">
        <f t="shared" si="13"/>
        <v>0</v>
      </c>
      <c r="AO25" s="53">
        <f t="shared" si="14"/>
        <v>0</v>
      </c>
      <c r="AP25" s="54">
        <f t="shared" si="15"/>
        <v>0</v>
      </c>
    </row>
    <row r="26" spans="1:42" ht="14.25" customHeight="1">
      <c r="A26" s="5"/>
      <c r="B26" s="97">
        <v>45976</v>
      </c>
      <c r="C26" s="34" t="s">
        <v>230</v>
      </c>
      <c r="D26" s="51"/>
      <c r="E26" s="36"/>
      <c r="F26" s="37"/>
      <c r="G26" s="49"/>
      <c r="H26" s="37"/>
      <c r="I26" s="49"/>
      <c r="J26" s="49"/>
      <c r="K26" s="49"/>
      <c r="L26" s="49"/>
      <c r="M26" s="49"/>
      <c r="N26" s="49"/>
      <c r="O26" s="49"/>
      <c r="P26" s="49"/>
      <c r="Q26" s="49"/>
      <c r="R26" s="49"/>
      <c r="T26" s="40"/>
      <c r="U26" s="55"/>
      <c r="V26" s="359"/>
      <c r="W26" s="358"/>
      <c r="X26" s="50" t="e">
        <f t="shared" si="0"/>
        <v>#N/A</v>
      </c>
      <c r="Y26" s="51" t="e">
        <f>VLOOKUP(Z26,Ref!$C$3:$D$14,2,FALSE)</f>
        <v>#N/A</v>
      </c>
      <c r="Z26" s="40" t="e">
        <f>VLOOKUP(B26,Ref!$F$3:$H$367,3,FALSE)</f>
        <v>#N/A</v>
      </c>
      <c r="AA26" s="5"/>
      <c r="AB26" s="52">
        <f t="shared" si="1"/>
        <v>0</v>
      </c>
      <c r="AC26" s="51">
        <f t="shared" si="2"/>
        <v>0</v>
      </c>
      <c r="AD26" s="51">
        <f t="shared" si="3"/>
        <v>0</v>
      </c>
      <c r="AE26" s="51">
        <f t="shared" si="4"/>
        <v>0</v>
      </c>
      <c r="AF26" s="51">
        <f t="shared" si="5"/>
        <v>0</v>
      </c>
      <c r="AG26" s="51">
        <f t="shared" si="6"/>
        <v>0</v>
      </c>
      <c r="AH26" s="51">
        <f t="shared" si="7"/>
        <v>0</v>
      </c>
      <c r="AI26" s="51">
        <f t="shared" si="8"/>
        <v>0</v>
      </c>
      <c r="AJ26" s="51">
        <f t="shared" si="9"/>
        <v>0</v>
      </c>
      <c r="AK26" s="51">
        <f t="shared" si="10"/>
        <v>0</v>
      </c>
      <c r="AL26" s="51">
        <f t="shared" si="11"/>
        <v>0</v>
      </c>
      <c r="AM26" s="51">
        <f t="shared" si="12"/>
        <v>0</v>
      </c>
      <c r="AN26" s="51">
        <f t="shared" si="13"/>
        <v>0</v>
      </c>
      <c r="AO26" s="53">
        <f t="shared" si="14"/>
        <v>0</v>
      </c>
      <c r="AP26" s="54">
        <f t="shared" si="15"/>
        <v>0</v>
      </c>
    </row>
    <row r="27" spans="1:42" ht="14.25" customHeight="1">
      <c r="A27" s="5"/>
      <c r="B27" s="88">
        <v>45977</v>
      </c>
      <c r="C27" s="34"/>
      <c r="D27" s="261"/>
      <c r="E27" s="262"/>
      <c r="F27" s="263"/>
      <c r="G27" s="264"/>
      <c r="H27" s="263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37"/>
      <c r="T27" s="265"/>
      <c r="U27" s="266"/>
      <c r="V27" s="359"/>
      <c r="W27" s="358"/>
      <c r="X27" s="269"/>
      <c r="Y27" s="261"/>
      <c r="Z27" s="265"/>
      <c r="AA27" s="5"/>
      <c r="AB27" s="52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3"/>
      <c r="AP27" s="54"/>
    </row>
    <row r="28" spans="1:42" ht="14.25" customHeight="1">
      <c r="A28" s="5"/>
      <c r="B28" s="97">
        <v>45978</v>
      </c>
      <c r="C28" s="34">
        <v>8</v>
      </c>
      <c r="D28" s="261"/>
      <c r="E28" s="262"/>
      <c r="F28" s="263"/>
      <c r="G28" s="264"/>
      <c r="H28" s="263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37" t="s">
        <v>68</v>
      </c>
      <c r="T28" s="265"/>
      <c r="U28" s="266"/>
      <c r="V28" s="359" t="s">
        <v>236</v>
      </c>
      <c r="W28" s="358"/>
      <c r="X28" s="269"/>
      <c r="Y28" s="261"/>
      <c r="Z28" s="265"/>
      <c r="AA28" s="5"/>
      <c r="AB28" s="52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3"/>
      <c r="AP28" s="54"/>
    </row>
    <row r="29" spans="1:42" ht="14.25" customHeight="1">
      <c r="A29" s="5"/>
      <c r="B29" s="97">
        <v>45979</v>
      </c>
      <c r="C29" s="34">
        <v>8</v>
      </c>
      <c r="D29" s="261"/>
      <c r="E29" s="262"/>
      <c r="F29" s="263"/>
      <c r="G29" s="264"/>
      <c r="H29" s="263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37" t="s">
        <v>68</v>
      </c>
      <c r="T29" s="265"/>
      <c r="U29" s="266"/>
      <c r="V29" s="359" t="s">
        <v>236</v>
      </c>
      <c r="W29" s="358"/>
      <c r="X29" s="269"/>
      <c r="Y29" s="261"/>
      <c r="Z29" s="265"/>
      <c r="AA29" s="5"/>
      <c r="AB29" s="52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3"/>
      <c r="AP29" s="54"/>
    </row>
    <row r="30" spans="1:42" ht="14.25" customHeight="1">
      <c r="A30" s="5"/>
      <c r="B30" s="97">
        <v>45980</v>
      </c>
      <c r="C30" s="34">
        <v>8</v>
      </c>
      <c r="D30" s="261"/>
      <c r="E30" s="262"/>
      <c r="F30" s="263"/>
      <c r="G30" s="264"/>
      <c r="H30" s="263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37" t="s">
        <v>68</v>
      </c>
      <c r="T30" s="265"/>
      <c r="U30" s="266"/>
      <c r="V30" s="359" t="s">
        <v>236</v>
      </c>
      <c r="W30" s="358"/>
      <c r="X30" s="269"/>
      <c r="Y30" s="261"/>
      <c r="Z30" s="265"/>
      <c r="AA30" s="5"/>
      <c r="AB30" s="52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3"/>
      <c r="AP30" s="54"/>
    </row>
    <row r="31" spans="1:42" ht="14.25" customHeight="1">
      <c r="A31" s="5"/>
      <c r="B31" s="97">
        <v>45981</v>
      </c>
      <c r="C31" s="34">
        <v>8</v>
      </c>
      <c r="D31" s="261"/>
      <c r="E31" s="262"/>
      <c r="F31" s="263"/>
      <c r="G31" s="264"/>
      <c r="H31" s="263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37" t="s">
        <v>68</v>
      </c>
      <c r="T31" s="265"/>
      <c r="U31" s="266"/>
      <c r="V31" s="359" t="s">
        <v>245</v>
      </c>
      <c r="W31" s="427"/>
      <c r="X31" s="269"/>
      <c r="Y31" s="261"/>
      <c r="Z31" s="265"/>
      <c r="AA31" s="5"/>
      <c r="AB31" s="52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3"/>
      <c r="AP31" s="54"/>
    </row>
    <row r="32" spans="1:42" ht="14.25" customHeight="1">
      <c r="A32" s="5"/>
      <c r="B32" s="97">
        <v>45982</v>
      </c>
      <c r="C32" s="34">
        <v>8</v>
      </c>
      <c r="D32" s="261"/>
      <c r="E32" s="262"/>
      <c r="F32" s="263"/>
      <c r="G32" s="264"/>
      <c r="H32" s="263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37" t="s">
        <v>68</v>
      </c>
      <c r="T32" s="265"/>
      <c r="U32" s="266"/>
      <c r="V32" s="359" t="s">
        <v>245</v>
      </c>
      <c r="W32" s="427"/>
      <c r="X32" s="269"/>
      <c r="Y32" s="261"/>
      <c r="Z32" s="265"/>
      <c r="AA32" s="5"/>
      <c r="AB32" s="52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3"/>
      <c r="AP32" s="54"/>
    </row>
    <row r="33" spans="1:42" ht="14.25" customHeight="1">
      <c r="A33" s="5"/>
      <c r="B33" s="97">
        <v>45983</v>
      </c>
      <c r="C33" s="34" t="s">
        <v>230</v>
      </c>
      <c r="D33" s="261"/>
      <c r="E33" s="262"/>
      <c r="F33" s="263"/>
      <c r="G33" s="264"/>
      <c r="H33" s="263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3"/>
      <c r="T33" s="265"/>
      <c r="U33" s="266"/>
      <c r="V33" s="356"/>
      <c r="W33" s="305"/>
      <c r="X33" s="269"/>
      <c r="Y33" s="261"/>
      <c r="Z33" s="265"/>
      <c r="AA33" s="5"/>
      <c r="AB33" s="52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3"/>
      <c r="AP33" s="54"/>
    </row>
    <row r="34" spans="1:42" ht="14.25" customHeight="1">
      <c r="A34" s="5"/>
      <c r="B34" s="97">
        <v>45984</v>
      </c>
      <c r="C34" s="34"/>
      <c r="D34" s="261"/>
      <c r="E34" s="262"/>
      <c r="F34" s="263"/>
      <c r="G34" s="264"/>
      <c r="H34" s="263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3"/>
      <c r="T34" s="265"/>
      <c r="U34" s="266"/>
      <c r="V34" s="359"/>
      <c r="W34" s="427"/>
      <c r="X34" s="269"/>
      <c r="Y34" s="261"/>
      <c r="Z34" s="265"/>
      <c r="AA34" s="5"/>
      <c r="AB34" s="52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3"/>
      <c r="AP34" s="54"/>
    </row>
    <row r="35" spans="1:42" ht="14.25" customHeight="1">
      <c r="A35" s="5"/>
      <c r="B35" s="97">
        <v>45985</v>
      </c>
      <c r="C35" s="34">
        <v>8</v>
      </c>
      <c r="D35" s="261"/>
      <c r="E35" s="262"/>
      <c r="F35" s="263"/>
      <c r="G35" s="264"/>
      <c r="H35" s="263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3" t="s">
        <v>68</v>
      </c>
      <c r="T35" s="265"/>
      <c r="U35" s="266"/>
      <c r="V35" s="359" t="s">
        <v>246</v>
      </c>
      <c r="W35" s="427"/>
      <c r="X35" s="269"/>
      <c r="Y35" s="261"/>
      <c r="Z35" s="265"/>
      <c r="AA35" s="5"/>
      <c r="AB35" s="52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3"/>
      <c r="AP35" s="54"/>
    </row>
    <row r="36" spans="1:42" ht="14.25" customHeight="1">
      <c r="A36" s="5"/>
      <c r="B36" s="97">
        <v>45986</v>
      </c>
      <c r="C36" s="34">
        <v>8</v>
      </c>
      <c r="D36" s="261"/>
      <c r="E36" s="262"/>
      <c r="F36" s="263"/>
      <c r="G36" s="264"/>
      <c r="H36" s="263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3" t="s">
        <v>68</v>
      </c>
      <c r="T36" s="265"/>
      <c r="U36" s="266"/>
      <c r="V36" s="357" t="s">
        <v>247</v>
      </c>
      <c r="W36" s="358"/>
      <c r="X36" s="269"/>
      <c r="Y36" s="261"/>
      <c r="Z36" s="265"/>
      <c r="AA36" s="5"/>
      <c r="AB36" s="52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3"/>
      <c r="AP36" s="54"/>
    </row>
    <row r="37" spans="1:42" ht="14.25" customHeight="1">
      <c r="A37" s="5"/>
      <c r="B37" s="97">
        <v>45987</v>
      </c>
      <c r="C37" s="34">
        <v>8</v>
      </c>
      <c r="D37" s="261"/>
      <c r="E37" s="262"/>
      <c r="F37" s="263"/>
      <c r="G37" s="264"/>
      <c r="H37" s="263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3" t="s">
        <v>68</v>
      </c>
      <c r="T37" s="265"/>
      <c r="U37" s="266"/>
      <c r="V37" s="357" t="s">
        <v>247</v>
      </c>
      <c r="W37" s="358"/>
      <c r="X37" s="269"/>
      <c r="Y37" s="261"/>
      <c r="Z37" s="265"/>
      <c r="AA37" s="5"/>
      <c r="AB37" s="52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3"/>
      <c r="AP37" s="54"/>
    </row>
    <row r="38" spans="1:42" ht="14.25" customHeight="1">
      <c r="A38" s="5"/>
      <c r="B38" s="97" t="s">
        <v>249</v>
      </c>
      <c r="C38" s="34">
        <v>8</v>
      </c>
      <c r="D38" s="261"/>
      <c r="E38" s="262"/>
      <c r="F38" s="263"/>
      <c r="G38" s="264"/>
      <c r="H38" s="263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37" t="s">
        <v>68</v>
      </c>
      <c r="T38" s="265"/>
      <c r="U38" s="266"/>
      <c r="V38" s="357" t="s">
        <v>247</v>
      </c>
      <c r="W38" s="358"/>
      <c r="X38" s="269"/>
      <c r="Y38" s="261"/>
      <c r="Z38" s="265"/>
      <c r="AA38" s="5"/>
      <c r="AB38" s="52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3"/>
      <c r="AP38" s="54"/>
    </row>
    <row r="39" spans="1:42" ht="14.25" customHeight="1">
      <c r="A39" s="5"/>
      <c r="B39" s="97" t="s">
        <v>250</v>
      </c>
      <c r="C39" s="34">
        <v>7</v>
      </c>
      <c r="D39" s="261"/>
      <c r="E39" s="262"/>
      <c r="F39" s="263"/>
      <c r="G39" s="264"/>
      <c r="H39" s="263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37" t="s">
        <v>68</v>
      </c>
      <c r="T39" s="265"/>
      <c r="U39" s="266"/>
      <c r="V39" s="359" t="s">
        <v>248</v>
      </c>
      <c r="W39" s="427"/>
      <c r="X39" s="269"/>
      <c r="Y39" s="261"/>
      <c r="Z39" s="265"/>
      <c r="AA39" s="5"/>
      <c r="AB39" s="52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3"/>
      <c r="AP39" s="54"/>
    </row>
    <row r="40" spans="1:42" ht="14.25" customHeight="1">
      <c r="A40" s="5"/>
      <c r="B40" s="97" t="s">
        <v>251</v>
      </c>
      <c r="C40" s="260"/>
      <c r="D40" s="261"/>
      <c r="E40" s="262"/>
      <c r="F40" s="263"/>
      <c r="G40" s="264"/>
      <c r="H40" s="263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3"/>
      <c r="T40" s="265"/>
      <c r="U40" s="266"/>
      <c r="V40" s="357"/>
      <c r="W40" s="358"/>
      <c r="X40" s="269"/>
      <c r="Y40" s="261"/>
      <c r="Z40" s="265"/>
      <c r="AA40" s="5"/>
      <c r="AB40" s="52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3"/>
      <c r="AP40" s="54"/>
    </row>
    <row r="41" spans="1:42" ht="14.25" customHeight="1">
      <c r="A41" s="5"/>
      <c r="B41" s="97" t="s">
        <v>243</v>
      </c>
      <c r="C41" s="260"/>
      <c r="D41" s="261"/>
      <c r="E41" s="262"/>
      <c r="F41" s="263"/>
      <c r="G41" s="264"/>
      <c r="H41" s="263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3"/>
      <c r="T41" s="265"/>
      <c r="U41" s="266"/>
      <c r="V41" s="359"/>
      <c r="W41" s="358"/>
      <c r="X41" s="269"/>
      <c r="Y41" s="261"/>
      <c r="Z41" s="265"/>
      <c r="AA41" s="5"/>
      <c r="AB41" s="52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3"/>
      <c r="AP41" s="54"/>
    </row>
    <row r="42" spans="1:42" ht="14.25" customHeight="1">
      <c r="A42" s="5"/>
      <c r="B42" s="259"/>
      <c r="C42" s="260"/>
      <c r="D42" s="261"/>
      <c r="E42" s="262"/>
      <c r="F42" s="263"/>
      <c r="G42" s="264"/>
      <c r="H42" s="263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263"/>
      <c r="T42" s="265"/>
      <c r="U42" s="266"/>
      <c r="V42" s="267"/>
      <c r="W42" s="268"/>
      <c r="X42" s="269"/>
      <c r="Y42" s="261"/>
      <c r="Z42" s="265"/>
      <c r="AA42" s="5"/>
      <c r="AB42" s="52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3"/>
      <c r="AP42" s="54"/>
    </row>
    <row r="43" spans="1:42" ht="14.25" customHeight="1">
      <c r="A43" s="5"/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8"/>
      <c r="T43" s="59"/>
      <c r="U43" s="57"/>
      <c r="V43" s="59"/>
      <c r="W43" s="5"/>
      <c r="X43" s="60"/>
      <c r="Y43" s="61"/>
      <c r="Z43" s="59"/>
      <c r="AA43" s="5"/>
      <c r="AB43" s="52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3"/>
      <c r="AP43" s="54"/>
    </row>
    <row r="44" spans="1:42" ht="14.25" customHeight="1">
      <c r="A44" s="5"/>
      <c r="B44" s="62" t="s">
        <v>69</v>
      </c>
      <c r="C44" s="63">
        <f t="shared" ref="C44:Q44" si="16">SUM(C12:C43)</f>
        <v>148.82999999999998</v>
      </c>
      <c r="D44" s="63">
        <f t="shared" si="16"/>
        <v>0</v>
      </c>
      <c r="E44" s="63">
        <f t="shared" si="16"/>
        <v>0</v>
      </c>
      <c r="F44" s="63">
        <f t="shared" si="16"/>
        <v>0</v>
      </c>
      <c r="G44" s="63">
        <f t="shared" si="16"/>
        <v>0</v>
      </c>
      <c r="H44" s="63">
        <f t="shared" si="16"/>
        <v>0</v>
      </c>
      <c r="I44" s="63">
        <f t="shared" si="16"/>
        <v>0</v>
      </c>
      <c r="J44" s="63">
        <f t="shared" si="16"/>
        <v>0</v>
      </c>
      <c r="K44" s="63">
        <f t="shared" si="16"/>
        <v>0</v>
      </c>
      <c r="L44" s="63">
        <f t="shared" si="16"/>
        <v>0</v>
      </c>
      <c r="M44" s="63">
        <f t="shared" si="16"/>
        <v>0</v>
      </c>
      <c r="N44" s="63">
        <f t="shared" si="16"/>
        <v>0</v>
      </c>
      <c r="O44" s="63">
        <f t="shared" si="16"/>
        <v>0</v>
      </c>
      <c r="P44" s="63">
        <f t="shared" si="16"/>
        <v>0</v>
      </c>
      <c r="Q44" s="63">
        <f t="shared" si="16"/>
        <v>0</v>
      </c>
      <c r="R44" s="5"/>
      <c r="S44" s="64" t="s">
        <v>70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ht="14.25" customHeight="1">
      <c r="A45" s="5"/>
      <c r="B45" s="6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4" t="s">
        <v>71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ht="14.25" customHeight="1">
      <c r="A46" s="5"/>
      <c r="B46" s="6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64" t="s">
        <v>72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ht="14.25" customHeight="1">
      <c r="A47" s="5"/>
      <c r="B47" s="6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64" t="s">
        <v>73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ht="14.25" customHeight="1">
      <c r="A48" s="5"/>
      <c r="B48" s="6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64" t="s">
        <v>68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64" t="s">
        <v>74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64" t="s">
        <v>75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64" t="s">
        <v>76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64" t="s">
        <v>77</v>
      </c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64" t="s">
        <v>78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64" t="s">
        <v>79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64" t="s">
        <v>80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64" t="s">
        <v>81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64" t="s">
        <v>82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64" t="s">
        <v>83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64" t="s">
        <v>84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64" t="s">
        <v>85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64" t="s">
        <v>86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64" t="s">
        <v>87</v>
      </c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64" t="s">
        <v>88</v>
      </c>
      <c r="T63" s="64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64" t="s">
        <v>89</v>
      </c>
      <c r="T64" s="64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64" t="s">
        <v>90</v>
      </c>
      <c r="T65" s="64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64" t="s">
        <v>91</v>
      </c>
      <c r="T66" s="64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64" t="s">
        <v>92</v>
      </c>
      <c r="T67" s="64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64" t="s">
        <v>93</v>
      </c>
      <c r="T68" s="64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64" t="s">
        <v>94</v>
      </c>
      <c r="T69" s="64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64" t="s">
        <v>95</v>
      </c>
      <c r="T70" s="64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4" t="s">
        <v>96</v>
      </c>
      <c r="T71" s="64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64" t="s">
        <v>97</v>
      </c>
      <c r="T72" s="64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64" t="s">
        <v>98</v>
      </c>
      <c r="T73" s="64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64" t="s">
        <v>99</v>
      </c>
      <c r="T74" s="64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64" t="s">
        <v>100</v>
      </c>
      <c r="T75" s="64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</sheetData>
  <mergeCells count="76">
    <mergeCell ref="V31:W31"/>
    <mergeCell ref="V32:W32"/>
    <mergeCell ref="V26:W26"/>
    <mergeCell ref="V27:W27"/>
    <mergeCell ref="V28:W28"/>
    <mergeCell ref="V29:W29"/>
    <mergeCell ref="V30:W30"/>
    <mergeCell ref="V38:W38"/>
    <mergeCell ref="V39:W39"/>
    <mergeCell ref="V40:W40"/>
    <mergeCell ref="V41:W41"/>
    <mergeCell ref="V33:W33"/>
    <mergeCell ref="V34:W34"/>
    <mergeCell ref="V35:W35"/>
    <mergeCell ref="V36:W36"/>
    <mergeCell ref="V37:W37"/>
    <mergeCell ref="V21:W21"/>
    <mergeCell ref="V22:W22"/>
    <mergeCell ref="V24:W24"/>
    <mergeCell ref="V25:W25"/>
    <mergeCell ref="V14:W14"/>
    <mergeCell ref="V15:W15"/>
    <mergeCell ref="V16:W16"/>
    <mergeCell ref="V17:W17"/>
    <mergeCell ref="V18:W18"/>
    <mergeCell ref="V23:W23"/>
    <mergeCell ref="B1:V2"/>
    <mergeCell ref="B3:C3"/>
    <mergeCell ref="D3:E3"/>
    <mergeCell ref="B4:C4"/>
    <mergeCell ref="D4:E4"/>
    <mergeCell ref="B5:C5"/>
    <mergeCell ref="D5:E5"/>
    <mergeCell ref="B6:C6"/>
    <mergeCell ref="D6:E6"/>
    <mergeCell ref="B7:C8"/>
    <mergeCell ref="B10:B11"/>
    <mergeCell ref="C10:D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AM10:AM11"/>
    <mergeCell ref="AN10:AN11"/>
    <mergeCell ref="U10:U11"/>
    <mergeCell ref="V10:V11"/>
    <mergeCell ref="W10:W11"/>
    <mergeCell ref="AB10:AB11"/>
    <mergeCell ref="AC10:AC11"/>
    <mergeCell ref="AD10:AD11"/>
    <mergeCell ref="AE10:AE11"/>
    <mergeCell ref="AP10:AP11"/>
    <mergeCell ref="AF10:AF11"/>
    <mergeCell ref="AG10:AG11"/>
    <mergeCell ref="AH10:AH11"/>
    <mergeCell ref="AI10:AI11"/>
    <mergeCell ref="AJ10:AJ11"/>
    <mergeCell ref="AK10:AK11"/>
    <mergeCell ref="AL10:AL11"/>
    <mergeCell ref="V12:W12"/>
    <mergeCell ref="V13:W13"/>
    <mergeCell ref="V19:W19"/>
    <mergeCell ref="V20:W20"/>
    <mergeCell ref="AO10:AO11"/>
  </mergeCells>
  <conditionalFormatting sqref="B42">
    <cfRule type="expression" dxfId="77" priority="85" stopIfTrue="1">
      <formula>AND(B42&lt;&gt;"",OR(B42&lt;$D$8,B42&gt;$E$8))</formula>
    </cfRule>
  </conditionalFormatting>
  <conditionalFormatting sqref="B42:B43">
    <cfRule type="expression" dxfId="76" priority="43" stopIfTrue="1">
      <formula>AND(Z42=7)</formula>
    </cfRule>
    <cfRule type="expression" dxfId="75" priority="44" stopIfTrue="1">
      <formula>AND(Z42=1)</formula>
    </cfRule>
    <cfRule type="expression" dxfId="74" priority="46" stopIfTrue="1">
      <formula>AND(Z42=991)</formula>
    </cfRule>
    <cfRule type="expression" dxfId="73" priority="47" stopIfTrue="1">
      <formula>AND(Z42=91)</formula>
    </cfRule>
    <cfRule type="expression" dxfId="72" priority="48" stopIfTrue="1">
      <formula>AND(Z42=997)</formula>
    </cfRule>
    <cfRule type="expression" dxfId="71" priority="49" stopIfTrue="1">
      <formula>AND(Z42=881)</formula>
    </cfRule>
    <cfRule type="expression" dxfId="70" priority="50" stopIfTrue="1">
      <formula>AND(Z42=810)</formula>
    </cfRule>
    <cfRule type="expression" dxfId="69" priority="51" stopIfTrue="1">
      <formula>AND(Z42=887)</formula>
    </cfRule>
    <cfRule type="expression" dxfId="68" priority="52" stopIfTrue="1">
      <formula>AND(Z42=87)</formula>
    </cfRule>
  </conditionalFormatting>
  <conditionalFormatting sqref="B43">
    <cfRule type="expression" dxfId="67" priority="45" stopIfTrue="1">
      <formula>AND(B43&lt;&gt;"",OR(B43&lt;$D$8,B43&gt;$E$8))</formula>
    </cfRule>
  </conditionalFormatting>
  <conditionalFormatting sqref="B43:E43 E12:E42 D26:D42">
    <cfRule type="expression" dxfId="66" priority="62" stopIfTrue="1">
      <formula>AND(#REF!=97)</formula>
    </cfRule>
  </conditionalFormatting>
  <conditionalFormatting sqref="D12:D25">
    <cfRule type="expression" dxfId="65" priority="101">
      <formula>AND(D12&lt;W12)</formula>
    </cfRule>
  </conditionalFormatting>
  <conditionalFormatting sqref="D18:D25 D12:D15">
    <cfRule type="expression" dxfId="64" priority="100" stopIfTrue="1">
      <formula>AND(D12&lt;W12)</formula>
    </cfRule>
  </conditionalFormatting>
  <conditionalFormatting sqref="D24">
    <cfRule type="cellIs" dxfId="63" priority="99" stopIfTrue="1" operator="lessThan">
      <formula>M24</formula>
    </cfRule>
  </conditionalFormatting>
  <conditionalFormatting sqref="D26:D42">
    <cfRule type="expression" dxfId="62" priority="66" stopIfTrue="1">
      <formula>AND(D26&lt;W26)</formula>
    </cfRule>
  </conditionalFormatting>
  <conditionalFormatting sqref="F43">
    <cfRule type="expression" dxfId="61" priority="63" stopIfTrue="1">
      <formula>AND(AC43=97)</formula>
    </cfRule>
  </conditionalFormatting>
  <conditionalFormatting sqref="H12:H43 F12:F43">
    <cfRule type="expression" dxfId="60" priority="65" stopIfTrue="1">
      <formula>AND(AE12=97)</formula>
    </cfRule>
  </conditionalFormatting>
  <conditionalFormatting sqref="H43">
    <cfRule type="expression" dxfId="59" priority="64" stopIfTrue="1">
      <formula>AND(AE43=97)</formula>
    </cfRule>
  </conditionalFormatting>
  <conditionalFormatting sqref="I12:Q43 B42 G12:G43">
    <cfRule type="expression" dxfId="58" priority="56" stopIfTrue="1">
      <formula>AND(Z12=97)</formula>
    </cfRule>
  </conditionalFormatting>
  <conditionalFormatting sqref="N12">
    <cfRule type="expression" dxfId="57" priority="53" stopIfTrue="1">
      <formula>AND(AL12=991)</formula>
    </cfRule>
    <cfRule type="expression" dxfId="56" priority="54" stopIfTrue="1">
      <formula>AND(AL12=91)</formula>
    </cfRule>
    <cfRule type="expression" dxfId="55" priority="55" stopIfTrue="1">
      <formula>AND(AL12=997)</formula>
    </cfRule>
    <cfRule type="expression" dxfId="54" priority="57" stopIfTrue="1">
      <formula>AND(AL12=881)</formula>
    </cfRule>
    <cfRule type="expression" dxfId="53" priority="58" stopIfTrue="1">
      <formula>AND(AL12=810)</formula>
    </cfRule>
    <cfRule type="expression" dxfId="52" priority="59" stopIfTrue="1">
      <formula>AND(AL12=887)</formula>
    </cfRule>
    <cfRule type="expression" dxfId="51" priority="60" stopIfTrue="1">
      <formula>AND(AL12=87)</formula>
    </cfRule>
  </conditionalFormatting>
  <conditionalFormatting sqref="S12:S25 S33:S43">
    <cfRule type="expression" dxfId="50" priority="42" stopIfTrue="1">
      <formula>AND(OR(C12&lt;&gt;"",D12&lt;&gt;"",E12&lt;&gt;"",G12&lt;&gt;"",J12&lt;&gt;"",L12&lt;&gt;"",N12&lt;&gt;"",P12&lt;&gt;""),S12="")</formula>
    </cfRule>
  </conditionalFormatting>
  <conditionalFormatting sqref="S27:S32">
    <cfRule type="expression" dxfId="2" priority="1" stopIfTrue="1">
      <formula>AND(OR(C27&lt;&gt;"",D27&lt;&gt;"",E27&lt;&gt;"",G27&lt;&gt;"",J27&lt;&gt;"",L27&lt;&gt;"",N27&lt;&gt;"",P27&lt;&gt;""),S27="")</formula>
    </cfRule>
  </conditionalFormatting>
  <dataValidations count="20">
    <dataValidation type="custom" allowBlank="1" showInputMessage="1" showErrorMessage="1" prompt="Invalid Entry - Date should be first date of the month." sqref="K5">
      <formula1>"DAY(L5=1)"</formula1>
    </dataValidation>
    <dataValidation type="list" allowBlank="1" showErrorMessage="1" sqref="D4 F4:R4">
      <formula1>provider</formula1>
    </dataValidation>
    <dataValidation type="list" allowBlank="1" showErrorMessage="1" sqref="D6 F6:R6">
      <formula1>section</formula1>
    </dataValidation>
    <dataValidation type="list" allowBlank="1" sqref="D5">
      <formula1>teamLead</formula1>
      <formula2>0</formula2>
    </dataValidation>
    <dataValidation type="custom" allowBlank="1" showInputMessage="1" showErrorMessage="1" prompt="Invalid Entry - This day is not LEGAL HOLIDAY." sqref="P12:P43">
      <formula1>"AND(n12=91)"</formula1>
    </dataValidation>
    <dataValidation type="custom" allowBlank="1" showInputMessage="1" showErrorMessage="1" prompt="Invalid Number - Number should not be greater than 8." sqref="I12:I43">
      <formula1>AND(I12&lt;=8)</formula1>
    </dataValidation>
    <dataValidation type="custom" allowBlank="1" showInputMessage="1" showErrorMessage="1" prompt="Invalid Entry - This day is not Sunday." sqref="G12:G43">
      <formula1>AND(Z12=1)</formula1>
    </dataValidation>
    <dataValidation type="custom" allowBlank="1" showInputMessage="1" showErrorMessage="1" prompt="Invalid Entry - Beside cell should have &quot;8&quot; value." sqref="H12:H43">
      <formula1>AND($G12=8)</formula1>
    </dataValidation>
    <dataValidation type="custom" allowBlank="1" showInputMessage="1" showErrorMessage="1" prompt="Invalid Entry - Beside cell(N) should have &quot;8&quot; value." sqref="Q12:Q43">
      <formula1>"AND(n12=8)"</formula1>
    </dataValidation>
    <dataValidation type="custom" allowBlank="1" showInputMessage="1" showErrorMessage="1" prompt="Invalid Entry - This day is not SATURDAY." sqref="E12:E43">
      <formula1>AND(Z12=7)</formula1>
    </dataValidation>
    <dataValidation type="custom" allowBlank="1" showInputMessage="1" showErrorMessage="1" prompt="Invalid Entry - This day is not LEGAL HOLIDAY." sqref="N12:N43">
      <formula1>AND(Z12=97)</formula1>
    </dataValidation>
    <dataValidation type="list" allowBlank="1" showErrorMessage="1" sqref="S12:S25 S27:S43">
      <formula1>costCtr</formula1>
    </dataValidation>
    <dataValidation type="list" allowBlank="1" showErrorMessage="1" sqref="U12:U43">
      <formula1>activity</formula1>
    </dataValidation>
    <dataValidation type="list" allowBlank="1" showErrorMessage="1" sqref="T12:T43">
      <formula1>budget</formula1>
    </dataValidation>
    <dataValidation type="custom" allowBlank="1" showInputMessage="1" showErrorMessage="1" prompt="Invalid Entry - Beside cell(J) should have &quot;8&quot; value." sqref="M12:M43">
      <formula1>AND(L12=8)</formula1>
    </dataValidation>
    <dataValidation type="custom" allowBlank="1" showInputMessage="1" showErrorMessage="1" prompt="Invalid Entry - Beside cell(L) should have &quot;8&quot; value." sqref="O12:O43">
      <formula1>AND(N12=8)</formula1>
    </dataValidation>
    <dataValidation type="custom" allowBlank="1" showInputMessage="1" showErrorMessage="1" prompt="Invalid Entry - This day is not SPECIAL HOLIDAY." sqref="J12:J43">
      <formula1>AND(Z12=87)</formula1>
    </dataValidation>
    <dataValidation type="custom" allowBlank="1" showInputMessage="1" showErrorMessage="1" prompt="Invalid Entry - Beside cell(H) should have &quot;8&quot; value." sqref="K12:K43">
      <formula1>AND(J12=8)</formula1>
    </dataValidation>
    <dataValidation type="custom" allowBlank="1" showInputMessage="1" showErrorMessage="1" prompt="Invalid Entry - This day is not SPECIAL HOLIDAY." sqref="L12:L43">
      <formula1>AND(Z12=81)</formula1>
    </dataValidation>
    <dataValidation type="custom" allowBlank="1" showInputMessage="1" showErrorMessage="1" prompt="Invalid Entry - Beside cell should have &quot;8&quot; value.." sqref="F12:F43">
      <formula1>AND($E12=8)</formula1>
    </dataValidation>
  </dataValidations>
  <printOptions horizontalCentered="1" verticalCentered="1"/>
  <pageMargins left="0.3" right="0.3" top="0.3" bottom="0.3" header="0" footer="0"/>
  <pageSetup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stopIfTrue="1" id="{15E692D2-F5B3-45B4-99A8-238CB859B4ED}">
            <xm:f>AND('Attendance Report__First'!Z12=97)</xm:f>
            <x14:dxf>
              <fill>
                <patternFill patternType="solid">
                  <fgColor rgb="FFC2D69B"/>
                  <bgColor rgb="FFC2D69B"/>
                </patternFill>
              </fill>
            </x14:dxf>
          </x14:cfRule>
          <x14:cfRule type="expression" priority="33" stopIfTrue="1" id="{B4DF85D6-DE32-441C-B92E-D3507DAB8A67}">
            <xm:f>AND('Attendance Report__First'!Z12=7)</xm:f>
            <x14:dxf>
              <fill>
                <patternFill patternType="solid">
                  <fgColor rgb="FF938953"/>
                  <bgColor rgb="FF938953"/>
                </patternFill>
              </fill>
            </x14:dxf>
          </x14:cfRule>
          <x14:cfRule type="expression" priority="34" stopIfTrue="1" id="{F4BC3995-4AB5-4D57-815F-CC6549D910B5}">
            <xm:f>AND('Attendance Report__First'!Z12=1)</xm:f>
            <x14:dxf>
              <fill>
                <patternFill patternType="solid">
                  <fgColor rgb="FFC00000"/>
                  <bgColor rgb="FFC00000"/>
                </patternFill>
              </fill>
            </x14:dxf>
          </x14:cfRule>
          <x14:cfRule type="expression" priority="35" stopIfTrue="1" id="{405209D1-5F6B-48A9-9DC8-42A20BA15950}">
            <xm:f>AND('Attendance Report__First'!Z12=991)</xm:f>
            <x14:dxf>
              <fill>
                <patternFill patternType="solid">
                  <fgColor rgb="FF5F497A"/>
                  <bgColor rgb="FF5F497A"/>
                </patternFill>
              </fill>
            </x14:dxf>
          </x14:cfRule>
          <x14:cfRule type="expression" priority="36" stopIfTrue="1" id="{F59972BF-9396-40AC-9135-651DDE62EB88}">
            <xm:f>AND('Attendance Report__First'!Z12=91)</xm:f>
            <x14:dxf>
              <fill>
                <patternFill patternType="solid">
                  <fgColor rgb="FFB2A1C7"/>
                  <bgColor rgb="FFB2A1C7"/>
                </patternFill>
              </fill>
            </x14:dxf>
          </x14:cfRule>
          <x14:cfRule type="expression" priority="37" stopIfTrue="1" id="{3C707BFD-6142-47A9-A43C-61E37212806A}">
            <xm:f>AND('Attendance Report__First'!Z12=997)</xm:f>
            <x14:dxf>
              <fill>
                <patternFill patternType="solid">
                  <fgColor rgb="FF76923C"/>
                  <bgColor rgb="FF76923C"/>
                </patternFill>
              </fill>
            </x14:dxf>
          </x14:cfRule>
          <x14:cfRule type="expression" priority="38" stopIfTrue="1" id="{A1C65053-1F5F-4E0D-9194-9D5CAAAB8B85}">
            <xm:f>AND('Attendance Report__First'!Z12=881)</xm:f>
            <x14:dxf>
              <fill>
                <patternFill patternType="solid">
                  <fgColor rgb="FF953734"/>
                  <bgColor rgb="FF953734"/>
                </patternFill>
              </fill>
            </x14:dxf>
          </x14:cfRule>
          <x14:cfRule type="expression" priority="39" stopIfTrue="1" id="{C0F69695-8295-4864-9243-0E383E102B4C}">
            <xm:f>AND('Attendance Report__First'!Z12=810)</xm:f>
            <x14:dxf>
              <fill>
                <patternFill patternType="solid">
                  <fgColor rgb="FFD99594"/>
                  <bgColor rgb="FFD99594"/>
                </patternFill>
              </fill>
            </x14:dxf>
          </x14:cfRule>
          <x14:cfRule type="expression" priority="40" stopIfTrue="1" id="{823CA628-EA6A-402C-9E71-98DBC1157CD8}">
            <xm:f>AND('Attendance Report__First'!Z12=887)</xm:f>
            <x14:dxf>
              <fill>
                <patternFill patternType="solid">
                  <fgColor rgb="FF366092"/>
                  <bgColor rgb="FF366092"/>
                </patternFill>
              </fill>
            </x14:dxf>
          </x14:cfRule>
          <x14:cfRule type="expression" priority="41" stopIfTrue="1" id="{F3D9C8E7-D965-4931-B825-F1B08EC725E5}">
            <xm:f>AND('Attendance Report__First'!Z12=87)</xm:f>
            <x14:dxf>
              <fill>
                <patternFill patternType="solid">
                  <fgColor rgb="FF95B3D7"/>
                  <bgColor rgb="FF95B3D7"/>
                </patternFill>
              </fill>
            </x14:dxf>
          </x14:cfRule>
          <xm:sqref>B12:B26</xm:sqref>
        </x14:conditionalFormatting>
        <x14:conditionalFormatting xmlns:xm="http://schemas.microsoft.com/office/excel/2006/main">
          <x14:cfRule type="expression" priority="2" stopIfTrue="1" id="{78285D75-0DED-42E1-A6E4-24B7F312ED7D}">
            <xm:f>AND('Attendance Report_Second'!Z27=97)</xm:f>
            <x14:dxf>
              <fill>
                <patternFill patternType="solid">
                  <fgColor rgb="FFC2D69B"/>
                  <bgColor rgb="FFC2D69B"/>
                </patternFill>
              </fill>
            </x14:dxf>
          </x14:cfRule>
          <x14:cfRule type="expression" priority="3" stopIfTrue="1" id="{DF5FB72C-A2FE-4651-9C79-148CD91E0015}">
            <xm:f>AND('Attendance Report_Second'!Z27=7)</xm:f>
            <x14:dxf>
              <fill>
                <patternFill patternType="solid">
                  <fgColor rgb="FF938953"/>
                  <bgColor rgb="FF938953"/>
                </patternFill>
              </fill>
            </x14:dxf>
          </x14:cfRule>
          <x14:cfRule type="expression" priority="4" stopIfTrue="1" id="{4C09F0EC-C933-448D-8777-C6F36FACFB60}">
            <xm:f>AND('Attendance Report_Second'!Z27=1)</xm:f>
            <x14:dxf>
              <fill>
                <patternFill patternType="solid">
                  <fgColor rgb="FFC00000"/>
                  <bgColor rgb="FFC00000"/>
                </patternFill>
              </fill>
            </x14:dxf>
          </x14:cfRule>
          <x14:cfRule type="expression" priority="5" stopIfTrue="1" id="{1E900DA5-FE60-4185-8E11-708AADC376BD}">
            <xm:f>AND('Attendance Report_Second'!Z27=991)</xm:f>
            <x14:dxf>
              <fill>
                <patternFill patternType="solid">
                  <fgColor rgb="FF5F497A"/>
                  <bgColor rgb="FF5F497A"/>
                </patternFill>
              </fill>
            </x14:dxf>
          </x14:cfRule>
          <x14:cfRule type="expression" priority="6" stopIfTrue="1" id="{D7A6F027-5E04-4E05-9010-6EFC70CA4A15}">
            <xm:f>AND('Attendance Report_Second'!Z27=91)</xm:f>
            <x14:dxf>
              <fill>
                <patternFill patternType="solid">
                  <fgColor rgb="FFB2A1C7"/>
                  <bgColor rgb="FFB2A1C7"/>
                </patternFill>
              </fill>
            </x14:dxf>
          </x14:cfRule>
          <x14:cfRule type="expression" priority="7" stopIfTrue="1" id="{101C2797-258A-4B19-9083-FA8ACF0D2927}">
            <xm:f>AND('Attendance Report_Second'!Z27=997)</xm:f>
            <x14:dxf>
              <fill>
                <patternFill patternType="solid">
                  <fgColor rgb="FF76923C"/>
                  <bgColor rgb="FF76923C"/>
                </patternFill>
              </fill>
            </x14:dxf>
          </x14:cfRule>
          <x14:cfRule type="expression" priority="8" stopIfTrue="1" id="{B1B5EFA3-65C3-437E-B2DB-A05B58E8DFCE}">
            <xm:f>AND('Attendance Report_Second'!Z27=881)</xm:f>
            <x14:dxf>
              <fill>
                <patternFill patternType="solid">
                  <fgColor rgb="FF953734"/>
                  <bgColor rgb="FF953734"/>
                </patternFill>
              </fill>
            </x14:dxf>
          </x14:cfRule>
          <x14:cfRule type="expression" priority="9" stopIfTrue="1" id="{045C5FE4-DD89-40D7-8522-A81F7EF47894}">
            <xm:f>AND('Attendance Report_Second'!Z27=810)</xm:f>
            <x14:dxf>
              <fill>
                <patternFill patternType="solid">
                  <fgColor rgb="FFD99594"/>
                  <bgColor rgb="FFD99594"/>
                </patternFill>
              </fill>
            </x14:dxf>
          </x14:cfRule>
          <x14:cfRule type="expression" priority="10" stopIfTrue="1" id="{E9B87897-A504-4FF1-B19E-4E15DA9669D0}">
            <xm:f>AND('Attendance Report_Second'!Z27=887)</xm:f>
            <x14:dxf>
              <fill>
                <patternFill patternType="solid">
                  <fgColor rgb="FF366092"/>
                  <bgColor rgb="FF366092"/>
                </patternFill>
              </fill>
            </x14:dxf>
          </x14:cfRule>
          <x14:cfRule type="expression" priority="11" stopIfTrue="1" id="{0C32D931-C314-4809-BE8D-2A55C3F19F43}">
            <xm:f>AND('Attendance Report_Second'!Z27=87)</xm:f>
            <x14:dxf>
              <fill>
                <patternFill patternType="solid">
                  <fgColor rgb="FF95B3D7"/>
                  <bgColor rgb="FF95B3D7"/>
                </patternFill>
              </fill>
            </x14:dxf>
          </x14:cfRule>
          <xm:sqref>B27:B41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showGridLines="0" zoomScale="84" zoomScaleNormal="84" workbookViewId="0">
      <selection activeCell="I26" sqref="I12:J26"/>
    </sheetView>
  </sheetViews>
  <sheetFormatPr defaultColWidth="14.42578125" defaultRowHeight="15" customHeight="1"/>
  <cols>
    <col min="1" max="8" width="9.140625" customWidth="1"/>
    <col min="9" max="9" width="42.140625" customWidth="1"/>
    <col min="10" max="10" width="44" customWidth="1"/>
    <col min="11" max="22" width="34.85546875" hidden="1" customWidth="1"/>
    <col min="23" max="32" width="9.140625" hidden="1" customWidth="1"/>
  </cols>
  <sheetData>
    <row r="1" spans="1:32" ht="15" customHeight="1">
      <c r="A1" s="5"/>
      <c r="B1" s="363" t="s">
        <v>35</v>
      </c>
      <c r="C1" s="289"/>
      <c r="D1" s="289"/>
      <c r="E1" s="289"/>
      <c r="F1" s="289"/>
      <c r="G1" s="289"/>
      <c r="H1" s="289"/>
      <c r="I1" s="289"/>
      <c r="J1" s="28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5" customHeight="1">
      <c r="A2" s="5"/>
      <c r="B2" s="364"/>
      <c r="C2" s="289"/>
      <c r="D2" s="289"/>
      <c r="E2" s="289"/>
      <c r="F2" s="289"/>
      <c r="G2" s="289"/>
      <c r="H2" s="289"/>
      <c r="I2" s="289"/>
      <c r="J2" s="28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>
      <c r="A3" s="5"/>
      <c r="B3" s="364"/>
      <c r="C3" s="289"/>
      <c r="D3" s="289"/>
      <c r="E3" s="289"/>
      <c r="F3" s="289"/>
      <c r="G3" s="289"/>
      <c r="H3" s="289"/>
      <c r="I3" s="289"/>
      <c r="J3" s="28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4.25" customHeight="1">
      <c r="A4" s="5"/>
      <c r="B4" s="350" t="s">
        <v>101</v>
      </c>
      <c r="C4" s="365"/>
      <c r="D4" s="381" t="s">
        <v>233</v>
      </c>
      <c r="E4" s="341"/>
      <c r="F4" s="36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4.25" customHeight="1">
      <c r="A5" s="5"/>
      <c r="B5" s="340" t="s">
        <v>102</v>
      </c>
      <c r="C5" s="368"/>
      <c r="D5" s="66">
        <v>0.35416666666666669</v>
      </c>
      <c r="E5" s="67">
        <v>0.72916666666666663</v>
      </c>
      <c r="F5" s="68">
        <v>6.9444444444444447E-4</v>
      </c>
      <c r="G5" s="68">
        <f>E5-F5</f>
        <v>0.72847222222222219</v>
      </c>
      <c r="H5" s="69"/>
      <c r="I5" s="5"/>
      <c r="J5" s="5"/>
      <c r="K5" s="5"/>
      <c r="L5" s="5"/>
      <c r="M5" s="5"/>
      <c r="N5" s="5"/>
      <c r="O5" s="7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4.25" customHeight="1">
      <c r="A6" s="5"/>
      <c r="B6" s="340" t="s">
        <v>103</v>
      </c>
      <c r="C6" s="368"/>
      <c r="D6" s="116" t="s">
        <v>104</v>
      </c>
      <c r="E6" s="72"/>
      <c r="F6" s="73"/>
      <c r="G6" s="73"/>
      <c r="H6" s="7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4.25" customHeight="1">
      <c r="A7" s="5"/>
      <c r="B7" s="345" t="s">
        <v>105</v>
      </c>
      <c r="C7" s="369"/>
      <c r="D7" s="117" t="s">
        <v>40</v>
      </c>
      <c r="E7" s="20" t="s">
        <v>41</v>
      </c>
      <c r="F7" s="73"/>
      <c r="G7" s="73"/>
      <c r="H7" s="7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4.25" customHeight="1">
      <c r="A8" s="5"/>
      <c r="B8" s="347"/>
      <c r="C8" s="370"/>
      <c r="D8" s="118">
        <v>45962</v>
      </c>
      <c r="E8" s="74">
        <v>45976</v>
      </c>
      <c r="F8" s="68">
        <v>0.25</v>
      </c>
      <c r="G8" s="75"/>
      <c r="H8" s="7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4.25" customHeight="1">
      <c r="A9" s="5"/>
      <c r="B9" s="5"/>
      <c r="C9" s="5"/>
      <c r="D9" s="5"/>
      <c r="E9" s="77">
        <v>0.91666666666666663</v>
      </c>
      <c r="F9" s="77">
        <v>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4.25" customHeight="1">
      <c r="A10" s="5"/>
      <c r="B10" s="371" t="s">
        <v>42</v>
      </c>
      <c r="C10" s="378" t="s">
        <v>106</v>
      </c>
      <c r="D10" s="379"/>
      <c r="E10" s="361" t="s">
        <v>107</v>
      </c>
      <c r="F10" s="380"/>
      <c r="G10" s="378" t="s">
        <v>108</v>
      </c>
      <c r="H10" s="379"/>
      <c r="I10" s="383" t="s">
        <v>109</v>
      </c>
      <c r="J10" s="384"/>
      <c r="K10" s="5"/>
      <c r="L10" s="5"/>
      <c r="M10" s="5"/>
      <c r="N10" s="5"/>
      <c r="O10" s="5"/>
      <c r="P10" s="1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4.25" customHeight="1">
      <c r="A11" s="5"/>
      <c r="B11" s="382"/>
      <c r="C11" s="78" t="s">
        <v>110</v>
      </c>
      <c r="D11" s="79" t="s">
        <v>111</v>
      </c>
      <c r="E11" s="80" t="s">
        <v>110</v>
      </c>
      <c r="F11" s="81" t="s">
        <v>111</v>
      </c>
      <c r="G11" s="78" t="s">
        <v>63</v>
      </c>
      <c r="H11" s="79" t="s">
        <v>112</v>
      </c>
      <c r="I11" s="385"/>
      <c r="J11" s="38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82"/>
      <c r="AA11" s="83"/>
      <c r="AB11" s="84" t="s">
        <v>113</v>
      </c>
      <c r="AC11" s="85">
        <v>0.1</v>
      </c>
      <c r="AD11" s="86" t="s">
        <v>114</v>
      </c>
      <c r="AE11" s="86" t="s">
        <v>115</v>
      </c>
      <c r="AF11" s="87" t="s">
        <v>116</v>
      </c>
    </row>
    <row r="12" spans="1:32" ht="14.25" customHeight="1">
      <c r="A12" s="5"/>
      <c r="B12" s="88">
        <f>D8</f>
        <v>45962</v>
      </c>
      <c r="C12" s="89"/>
      <c r="D12" s="67"/>
      <c r="E12" s="90"/>
      <c r="F12" s="91"/>
      <c r="G12" s="34" t="str">
        <f t="shared" ref="G12:G26" si="0">IF(AND(C12="",D12=""),"",IF(AND(C12&lt;=$D$5,D12&gt;=$E$5),8, IF(AND(Q12&lt;4,Q12&gt;0,R12&gt;=0),8-S12,IF(AND(Q12&lt;4,C12&gt;$D$5,U12&gt;5),T12-(S12+1), IF(AND(Q12&gt;3,D12&lt;$E$5),T12-S12,IF(AND(Q12&gt;3,D12&gt;=$E$5),9-S12,IF(AND(C12&gt;$D$5,U12&lt;=4),T12-S12,IF(AND(C12&gt;$D$5,U12&gt;4),U12-(S12+1),IF(AND(C12&lt;=$D$5,U12&gt;=5),T12-1,IF(AND(C12&lt;=$D$5,T12&lt;=4),T12,IF(AND(C12&lt;=$D$5,T12&lt;5),4,IF(U12&gt;5,U12-1,IF(U12&lt;=4,U12,0)))))))))))))</f>
        <v/>
      </c>
      <c r="H12" s="257" t="str">
        <f t="shared" ref="H12:H26" si="1">IF(F12-E12*24=0,"",IF(ROUND((F12-E12)*24,2)&gt;=6,ROUND((F12-E12)*24,2)-1,ROUND((F12-E12)*24,2)))</f>
        <v/>
      </c>
      <c r="I12" s="357"/>
      <c r="J12" s="358"/>
      <c r="K12" s="119">
        <f>Billing!C37</f>
        <v>0</v>
      </c>
      <c r="L12" s="70">
        <f>Billing!D37</f>
        <v>0</v>
      </c>
      <c r="M12" s="100">
        <f>'Attendance Report - Manager'!G27</f>
        <v>0</v>
      </c>
      <c r="N12" s="5">
        <f>'Attendance Report - Manager'!H27</f>
        <v>0</v>
      </c>
      <c r="O12" s="5"/>
      <c r="P12" s="5">
        <f>SUMIF(DailyAccomplishmentReport!$B$12:$B$26,B12,DailyAccomplishmentReport!$AP$12:$AP$26)</f>
        <v>0</v>
      </c>
      <c r="Q12" s="70">
        <f t="shared" ref="Q12:Q22" si="2">IF(C12&lt;&gt;"", (C12-$D$5)*24,0)</f>
        <v>0</v>
      </c>
      <c r="R12" s="70">
        <f t="shared" ref="R12:R22" si="3">IF(D12&lt;&gt;"", (D12-$E$5)*24,0)</f>
        <v>0</v>
      </c>
      <c r="S12" s="93">
        <f t="shared" ref="S12:S27" si="4">(ROUNDUP(Q12/0.5,0)*0.5 )</f>
        <v>0</v>
      </c>
      <c r="T12" s="70">
        <f t="shared" ref="T12:T22" si="5">ROUND((D12-$D$5)*24,2)</f>
        <v>-8.5</v>
      </c>
      <c r="U12" s="70">
        <f t="shared" ref="U12:U22" si="6">(D12-C12)*24</f>
        <v>0</v>
      </c>
      <c r="V12" s="5"/>
      <c r="W12" s="5"/>
      <c r="X12" s="5"/>
      <c r="Y12" s="5"/>
      <c r="Z12" s="50" t="e">
        <f>VLOOKUP(B12,Ref!$F$3:$H$367,3,FALSE)</f>
        <v>#N/A</v>
      </c>
      <c r="AA12" s="51">
        <f>SUMIF(DailyAccomplishmentReport!$B$12:$B$43,B12,DailyAccomplishmentReport!$D$12:$D$43)</f>
        <v>0</v>
      </c>
      <c r="AB12" s="94">
        <f t="shared" ref="AB12:AB22" si="7">IF(F12=$F$9,2,IF(AND(E12&gt;=0,F12&lt;=$F$8),(F12-E12)*24,IF(F12&gt;$E$9,(F12-$E$9)*24,0)))</f>
        <v>0</v>
      </c>
      <c r="AC12" s="95">
        <f t="shared" ref="AC12:AC27" si="8">ROUND(AB12*$AC$11,2)</f>
        <v>0</v>
      </c>
      <c r="AD12" s="51">
        <f t="shared" ref="AD12:AD22" si="9">ROUND((F12-E12)*24,2)</f>
        <v>0</v>
      </c>
      <c r="AE12" s="51" t="e">
        <f>VLOOKUP(Z12,Ref!$C$3:$D$14,2,)</f>
        <v>#N/A</v>
      </c>
      <c r="AF12" s="96" t="e">
        <f t="shared" ref="AF12:AF27" si="10">AD12*AE12</f>
        <v>#N/A</v>
      </c>
    </row>
    <row r="13" spans="1:32" ht="14.25" customHeight="1">
      <c r="A13" s="5"/>
      <c r="B13" s="97">
        <f t="shared" ref="B13:B26" si="11">B12+1</f>
        <v>45963</v>
      </c>
      <c r="C13" s="89"/>
      <c r="D13" s="67"/>
      <c r="E13" s="98"/>
      <c r="F13" s="99"/>
      <c r="G13" s="34" t="str">
        <f t="shared" si="0"/>
        <v/>
      </c>
      <c r="H13" s="258" t="str">
        <f t="shared" si="1"/>
        <v/>
      </c>
      <c r="I13" s="357"/>
      <c r="J13" s="358"/>
      <c r="K13" s="119">
        <f>Billing!C38</f>
        <v>0</v>
      </c>
      <c r="L13" s="120">
        <f>Billing!D38</f>
        <v>0</v>
      </c>
      <c r="M13" s="5">
        <f>'Attendance Report - Manager'!G28</f>
        <v>0</v>
      </c>
      <c r="N13" s="5">
        <f>'Attendance Report - Manager'!H28</f>
        <v>0</v>
      </c>
      <c r="O13" s="5"/>
      <c r="P13" s="5">
        <f>SUMIF(DailyAccomplishmentReport!$B$12:$B$26,B13,DailyAccomplishmentReport!$AP$12:$AP$26)</f>
        <v>0</v>
      </c>
      <c r="Q13" s="70">
        <f t="shared" si="2"/>
        <v>0</v>
      </c>
      <c r="R13" s="70">
        <f t="shared" si="3"/>
        <v>0</v>
      </c>
      <c r="S13" s="93">
        <f t="shared" si="4"/>
        <v>0</v>
      </c>
      <c r="T13" s="70">
        <f t="shared" si="5"/>
        <v>-8.5</v>
      </c>
      <c r="U13" s="70">
        <f t="shared" si="6"/>
        <v>0</v>
      </c>
      <c r="V13" s="70"/>
      <c r="W13" s="5"/>
      <c r="X13" s="5"/>
      <c r="Y13" s="5"/>
      <c r="Z13" s="50" t="e">
        <f>VLOOKUP(B13,Ref!$F$3:$H$367,3,FALSE)</f>
        <v>#N/A</v>
      </c>
      <c r="AA13" s="51">
        <f>SUMIF(DailyAccomplishmentReport!$B$12:$B$43,B13,DailyAccomplishmentReport!$D$12:$D$43)</f>
        <v>0</v>
      </c>
      <c r="AB13" s="94">
        <f t="shared" si="7"/>
        <v>0</v>
      </c>
      <c r="AC13" s="95">
        <f t="shared" si="8"/>
        <v>0</v>
      </c>
      <c r="AD13" s="51">
        <f t="shared" si="9"/>
        <v>0</v>
      </c>
      <c r="AE13" s="51" t="e">
        <f>VLOOKUP(Z13,Ref!$C$3:$D$14,2,)</f>
        <v>#N/A</v>
      </c>
      <c r="AF13" s="96" t="e">
        <f t="shared" si="10"/>
        <v>#N/A</v>
      </c>
    </row>
    <row r="14" spans="1:32" ht="14.25" customHeight="1">
      <c r="A14" s="5"/>
      <c r="B14" s="97">
        <f t="shared" si="11"/>
        <v>45964</v>
      </c>
      <c r="C14" s="89">
        <v>0.32361111111111113</v>
      </c>
      <c r="D14" s="67">
        <v>0.73263888888888884</v>
      </c>
      <c r="E14" s="98"/>
      <c r="F14" s="99"/>
      <c r="G14" s="34">
        <f>IF(AND(C14="",D14=""),"",IF(AND(C14&lt;=$D$5,D14&gt;=$E$5),8, IF(AND(Q14&lt;4,Q14&gt;0,R14&gt;=0),8-S14,IF(AND(Q14&lt;4,C14&gt;$D$5,U14&gt;5),T14-(S14+1), IF(AND(Q14&gt;3,D14&lt;$E$5),T14-S14,IF(AND(Q14&gt;3,D14&gt;=$E$5),9-S14,IF(AND(C14&gt;$D$5,U14&lt;=4),T14-S14,IF(AND(C14&gt;$D$5,U14&gt;4),U14-(S14+1),IF(AND(C14&lt;=$D$5,U14&gt;=5),T14-1,IF(AND(C14&lt;=$D$5,T14&lt;=4),T14,IF(AND(C14&lt;=$D$5,T14&lt;5),4,IF(U14&gt;5,U14-1,IF(U14&lt;=4,U14,0)))))))))))))</f>
        <v>8</v>
      </c>
      <c r="H14" s="258" t="str">
        <f t="shared" si="1"/>
        <v/>
      </c>
      <c r="I14" s="359" t="s">
        <v>236</v>
      </c>
      <c r="J14" s="358"/>
      <c r="K14" s="119">
        <f>Billing!C39</f>
        <v>0</v>
      </c>
      <c r="L14" s="70">
        <f>Billing!D39</f>
        <v>0</v>
      </c>
      <c r="M14" s="5">
        <f>'Attendance Report - Manager'!G29</f>
        <v>8</v>
      </c>
      <c r="N14" s="5">
        <f>'Attendance Report - Manager'!H29</f>
        <v>0</v>
      </c>
      <c r="O14" s="5"/>
      <c r="P14" s="5">
        <f>SUMIF(DailyAccomplishmentReport!$B$12:$B$26,B14,DailyAccomplishmentReport!$AP$12:$AP$26)</f>
        <v>0</v>
      </c>
      <c r="Q14" s="70">
        <f>IF(C14&lt;&gt;"", (C14-$D$5)*24,0)</f>
        <v>-0.73333333333333339</v>
      </c>
      <c r="R14" s="70">
        <f>IF(D14&lt;&gt;"", (D14-$E$5)*24,0)</f>
        <v>8.3333333333333037E-2</v>
      </c>
      <c r="S14" s="93">
        <f t="shared" si="4"/>
        <v>-1</v>
      </c>
      <c r="T14" s="70">
        <f>ROUND((D14-$D$5)*24,2)</f>
        <v>9.08</v>
      </c>
      <c r="U14" s="70">
        <f>(D14-C14)*24</f>
        <v>9.8166666666666647</v>
      </c>
      <c r="V14" s="5"/>
      <c r="W14" s="5"/>
      <c r="X14" s="5"/>
      <c r="Y14" s="5"/>
      <c r="Z14" s="50" t="e">
        <f>VLOOKUP(B14,Ref!$F$3:$H$367,3,FALSE)</f>
        <v>#N/A</v>
      </c>
      <c r="AA14" s="51">
        <f>SUMIF(DailyAccomplishmentReport!$B$12:$B$43,B14,DailyAccomplishmentReport!$D$12:$D$43)</f>
        <v>0</v>
      </c>
      <c r="AB14" s="94">
        <f t="shared" si="7"/>
        <v>0</v>
      </c>
      <c r="AC14" s="95">
        <f t="shared" si="8"/>
        <v>0</v>
      </c>
      <c r="AD14" s="51">
        <f t="shared" si="9"/>
        <v>0</v>
      </c>
      <c r="AE14" s="51" t="e">
        <f>VLOOKUP(Z14,Ref!$C$3:$D$14,2,)</f>
        <v>#N/A</v>
      </c>
      <c r="AF14" s="96" t="e">
        <f t="shared" si="10"/>
        <v>#N/A</v>
      </c>
    </row>
    <row r="15" spans="1:32" ht="14.25" customHeight="1">
      <c r="A15" s="5"/>
      <c r="B15" s="97">
        <f t="shared" si="11"/>
        <v>45965</v>
      </c>
      <c r="C15" s="89">
        <v>0.33819444444444446</v>
      </c>
      <c r="D15" s="67">
        <v>0.73125000000000007</v>
      </c>
      <c r="E15" s="98"/>
      <c r="F15" s="99"/>
      <c r="G15" s="34">
        <f>IF(AND(C15="",D15=""),"",IF(AND(C15&lt;=$D$5,D15&gt;=$E$5),8, IF(AND(Q15&lt;4,Q15&gt;0,R15&gt;=0),8-S15,IF(AND(Q15&lt;4,C15&gt;$D$5,U15&gt;5),T15-(S15+1), IF(AND(Q15&gt;3,D15&lt;$E$5),T15-S15,IF(AND(Q15&gt;3,D15&gt;=$E$5),9-S15,IF(AND(C15&gt;$D$5,U15&lt;=4),T15-S15,IF(AND(C15&gt;$D$5,U15&gt;4),U15-(S15+1),IF(AND(C15&lt;=$D$5,U15&gt;=5),T15-1,IF(AND(C15&lt;=$D$5,T15&lt;=4),T15,IF(AND(C15&lt;=$D$5,T15&lt;5),4,IF(U15&gt;5,U15-1,IF(U15&lt;=4,U15,0)))))))))))))</f>
        <v>8</v>
      </c>
      <c r="H15" s="258" t="str">
        <f t="shared" si="1"/>
        <v/>
      </c>
      <c r="I15" s="359" t="s">
        <v>236</v>
      </c>
      <c r="J15" s="358"/>
      <c r="K15" s="119">
        <f>Billing!C40</f>
        <v>0</v>
      </c>
      <c r="L15" s="70">
        <f>Billing!D40</f>
        <v>0</v>
      </c>
      <c r="M15" s="5">
        <f>'Attendance Report - Manager'!G30</f>
        <v>8</v>
      </c>
      <c r="N15" s="5">
        <f>'Attendance Report - Manager'!H30</f>
        <v>0</v>
      </c>
      <c r="O15" s="5"/>
      <c r="P15" s="5">
        <f>SUMIF(DailyAccomplishmentReport!$B$12:$B$26,B15,DailyAccomplishmentReport!$AP$12:$AP$26)</f>
        <v>0</v>
      </c>
      <c r="Q15" s="70">
        <f>IF(C15&lt;&gt;"", (C15-$D$5)*24,0)</f>
        <v>-0.3833333333333333</v>
      </c>
      <c r="R15" s="70">
        <f>IF(D15&lt;&gt;"", (D15-$E$5)*24,0)</f>
        <v>5.0000000000002487E-2</v>
      </c>
      <c r="S15" s="93">
        <f t="shared" si="4"/>
        <v>-0.5</v>
      </c>
      <c r="T15" s="70">
        <f>ROUND((D15-$D$5)*24,2)</f>
        <v>9.0500000000000007</v>
      </c>
      <c r="U15" s="70">
        <f>(D15-C15)*24</f>
        <v>9.4333333333333336</v>
      </c>
      <c r="V15" s="5"/>
      <c r="W15" s="5"/>
      <c r="X15" s="5"/>
      <c r="Y15" s="5"/>
      <c r="Z15" s="50" t="e">
        <f>VLOOKUP(B15,Ref!$F$3:$H$367,3,FALSE)</f>
        <v>#N/A</v>
      </c>
      <c r="AA15" s="51">
        <f>SUMIF(DailyAccomplishmentReport!$B$12:$B$43,B15,DailyAccomplishmentReport!$D$12:$D$43)</f>
        <v>0</v>
      </c>
      <c r="AB15" s="94">
        <f t="shared" si="7"/>
        <v>0</v>
      </c>
      <c r="AC15" s="95">
        <f t="shared" si="8"/>
        <v>0</v>
      </c>
      <c r="AD15" s="51">
        <f t="shared" si="9"/>
        <v>0</v>
      </c>
      <c r="AE15" s="51" t="e">
        <f>VLOOKUP(Z15,Ref!$C$3:$D$14,2,)</f>
        <v>#N/A</v>
      </c>
      <c r="AF15" s="96" t="e">
        <f t="shared" si="10"/>
        <v>#N/A</v>
      </c>
    </row>
    <row r="16" spans="1:32" ht="14.25" customHeight="1">
      <c r="A16" s="5"/>
      <c r="B16" s="97">
        <f t="shared" si="11"/>
        <v>45966</v>
      </c>
      <c r="C16" s="89">
        <v>0.32500000000000001</v>
      </c>
      <c r="D16" s="67">
        <v>0.72916666666666663</v>
      </c>
      <c r="E16" s="98"/>
      <c r="F16" s="99"/>
      <c r="G16" s="34">
        <f>IF(AND(C16="",D16=""),"",IF(AND(C16&lt;=$D$5,D16&gt;=$E$5),8, IF(AND(Q16&lt;4,Q16&gt;0,R16&gt;=0),8-S16,IF(AND(Q16&lt;4,C16&gt;$D$5,U16&gt;5),T16-(S16+1), IF(AND(Q16&gt;3,D16&lt;$E$5),T16-S16,IF(AND(Q16&gt;3,D16&gt;=$E$5),9-S16,IF(AND(C16&gt;$D$5,U16&lt;=4),T16-S16,IF(AND(C16&gt;$D$5,U16&gt;4),U16-(S16+1),IF(AND(C16&lt;=$D$5,U16&gt;=5),T16-1,IF(AND(C16&lt;=$D$5,T16&lt;=4),T16,IF(AND(C16&lt;=$D$5,T16&lt;5),4,IF(U16&gt;5,U16-1,IF(U16&lt;=4,U16,0)))))))))))))</f>
        <v>8</v>
      </c>
      <c r="H16" s="258" t="str">
        <f t="shared" si="1"/>
        <v/>
      </c>
      <c r="I16" s="357" t="s">
        <v>234</v>
      </c>
      <c r="J16" s="358"/>
      <c r="K16" s="119">
        <f>Billing!C41</f>
        <v>0</v>
      </c>
      <c r="L16" s="70">
        <f>Billing!D41</f>
        <v>0</v>
      </c>
      <c r="M16" s="100">
        <f>'Attendance Report - Manager'!G31</f>
        <v>8</v>
      </c>
      <c r="N16" s="5">
        <f>'Attendance Report - Manager'!H31</f>
        <v>0</v>
      </c>
      <c r="O16" s="5"/>
      <c r="P16" s="5">
        <f>SUMIF(DailyAccomplishmentReport!$B$12:$B$26,B16,DailyAccomplishmentReport!$AP$12:$AP$26)</f>
        <v>0</v>
      </c>
      <c r="Q16" s="70">
        <f>IF(C16&lt;&gt;"", (C16-$D$5)*24,0)</f>
        <v>-0.70000000000000018</v>
      </c>
      <c r="R16" s="70">
        <f>IF(D16&lt;&gt;"", (D16-$E$5)*24,0)</f>
        <v>0</v>
      </c>
      <c r="S16" s="93">
        <f t="shared" si="4"/>
        <v>-1</v>
      </c>
      <c r="T16" s="70">
        <f>ROUND((D16-$D$5)*24,2)</f>
        <v>9</v>
      </c>
      <c r="U16" s="70">
        <f>(D16-C16)*24</f>
        <v>9.6999999999999993</v>
      </c>
      <c r="V16" s="5"/>
      <c r="W16" s="5"/>
      <c r="X16" s="5"/>
      <c r="Y16" s="5"/>
      <c r="Z16" s="50" t="e">
        <f>VLOOKUP(B16,Ref!$F$3:$H$367,3,FALSE)</f>
        <v>#N/A</v>
      </c>
      <c r="AA16" s="51">
        <f>SUMIF(DailyAccomplishmentReport!$B$12:$B$43,B16,DailyAccomplishmentReport!$D$12:$D$43)</f>
        <v>0</v>
      </c>
      <c r="AB16" s="94">
        <f t="shared" si="7"/>
        <v>0</v>
      </c>
      <c r="AC16" s="95">
        <f t="shared" si="8"/>
        <v>0</v>
      </c>
      <c r="AD16" s="51">
        <f t="shared" si="9"/>
        <v>0</v>
      </c>
      <c r="AE16" s="51" t="e">
        <f>VLOOKUP(Z16,Ref!$C$3:$D$14,2,)</f>
        <v>#N/A</v>
      </c>
      <c r="AF16" s="96" t="e">
        <f t="shared" si="10"/>
        <v>#N/A</v>
      </c>
    </row>
    <row r="17" spans="1:32" ht="14.25" customHeight="1">
      <c r="A17" s="5"/>
      <c r="B17" s="97">
        <f t="shared" si="11"/>
        <v>45967</v>
      </c>
      <c r="C17" s="89">
        <v>0.33402777777777781</v>
      </c>
      <c r="D17" s="67">
        <v>0.72916666666666663</v>
      </c>
      <c r="E17" s="98"/>
      <c r="F17" s="99"/>
      <c r="G17" s="34">
        <f>IF(AND(C17="",D17=""),"",IF(AND(C17&lt;=$D$5,D17&gt;=$E$5),8, IF(AND(Q17&lt;4,Q17&gt;0,R17&gt;=0),8-S17,IF(AND(Q17&lt;4,C17&gt;$D$5,U17&gt;5),T17-(S17+1), IF(AND(Q17&gt;3,D17&lt;$E$5),T17-S17,IF(AND(Q17&gt;3,D17&gt;=$E$5),9-S17,IF(AND(C17&gt;$D$5,U17&lt;=4),T17-S17,IF(AND(C17&gt;$D$5,U17&gt;4),U17-(S17+1),IF(AND(C17&lt;=$D$5,U17&gt;=5),T17-1,IF(AND(C17&lt;=$D$5,T17&lt;=4),T17,IF(AND(C17&lt;=$D$5,T17&lt;5),4,IF(U17&gt;5,U17-1,IF(U17&lt;=4,U17,0)))))))))))))</f>
        <v>8</v>
      </c>
      <c r="H17" s="258" t="str">
        <f t="shared" si="1"/>
        <v/>
      </c>
      <c r="I17" s="359" t="s">
        <v>236</v>
      </c>
      <c r="J17" s="358"/>
      <c r="K17" s="119">
        <f>Billing!C42</f>
        <v>0</v>
      </c>
      <c r="L17" s="70">
        <f>Billing!D42</f>
        <v>0</v>
      </c>
      <c r="M17" s="100">
        <f>'Attendance Report - Manager'!G32</f>
        <v>8</v>
      </c>
      <c r="N17" s="5">
        <f>'Attendance Report - Manager'!H32</f>
        <v>0</v>
      </c>
      <c r="O17" s="5"/>
      <c r="P17" s="5">
        <f>SUMIF(DailyAccomplishmentReport!$B$12:$B$26,B17,DailyAccomplishmentReport!$AP$12:$AP$26)</f>
        <v>0</v>
      </c>
      <c r="Q17" s="70">
        <f>IF(C17&lt;&gt;"", (C17-$D$5)*24,0)</f>
        <v>-0.48333333333333295</v>
      </c>
      <c r="R17" s="70">
        <f>IF(D17&lt;&gt;"", (D17-$E$5)*24,0)</f>
        <v>0</v>
      </c>
      <c r="S17" s="93">
        <f t="shared" si="4"/>
        <v>-0.5</v>
      </c>
      <c r="T17" s="70">
        <f>ROUND((D17-$D$5)*24,2)</f>
        <v>9</v>
      </c>
      <c r="U17" s="70">
        <f>(D17-C17)*24</f>
        <v>9.4833333333333307</v>
      </c>
      <c r="V17" s="5"/>
      <c r="W17" s="5"/>
      <c r="X17" s="5"/>
      <c r="Y17" s="5"/>
      <c r="Z17" s="50" t="e">
        <f>VLOOKUP(B17,Ref!$F$3:$H$367,3,FALSE)</f>
        <v>#N/A</v>
      </c>
      <c r="AA17" s="51">
        <f>SUMIF(DailyAccomplishmentReport!$B$12:$B$43,B17,DailyAccomplishmentReport!$D$12:$D$43)</f>
        <v>0</v>
      </c>
      <c r="AB17" s="94">
        <f t="shared" si="7"/>
        <v>0</v>
      </c>
      <c r="AC17" s="95">
        <f t="shared" si="8"/>
        <v>0</v>
      </c>
      <c r="AD17" s="51">
        <f t="shared" si="9"/>
        <v>0</v>
      </c>
      <c r="AE17" s="51" t="e">
        <f>VLOOKUP(Z17,Ref!$C$3:$D$14,2,)</f>
        <v>#N/A</v>
      </c>
      <c r="AF17" s="96" t="e">
        <f t="shared" si="10"/>
        <v>#N/A</v>
      </c>
    </row>
    <row r="18" spans="1:32" ht="14.25" customHeight="1">
      <c r="A18" s="5"/>
      <c r="B18" s="97">
        <f t="shared" si="11"/>
        <v>45968</v>
      </c>
      <c r="C18" s="89">
        <v>0.30069444444444443</v>
      </c>
      <c r="D18" s="67">
        <v>0.73541666666666661</v>
      </c>
      <c r="E18" s="98"/>
      <c r="F18" s="99"/>
      <c r="G18" s="34">
        <f t="shared" si="0"/>
        <v>8</v>
      </c>
      <c r="H18" s="258" t="str">
        <f t="shared" si="1"/>
        <v/>
      </c>
      <c r="I18" s="359" t="s">
        <v>235</v>
      </c>
      <c r="J18" s="358"/>
      <c r="K18" s="119">
        <f>Billing!C43</f>
        <v>0</v>
      </c>
      <c r="L18" s="70">
        <f>Billing!D43</f>
        <v>0</v>
      </c>
      <c r="M18" s="100">
        <f>'Attendance Report - Manager'!G33</f>
        <v>8</v>
      </c>
      <c r="N18" s="5">
        <f>'Attendance Report - Manager'!H33</f>
        <v>0</v>
      </c>
      <c r="O18" s="5"/>
      <c r="P18" s="5">
        <f>SUMIF(DailyAccomplishmentReport!$B$12:$B$26,B18,DailyAccomplishmentReport!$AP$12:$AP$26)</f>
        <v>0</v>
      </c>
      <c r="Q18" s="70">
        <f t="shared" si="2"/>
        <v>-1.2833333333333341</v>
      </c>
      <c r="R18" s="70">
        <f t="shared" si="3"/>
        <v>0.14999999999999947</v>
      </c>
      <c r="S18" s="93">
        <f t="shared" si="4"/>
        <v>-1.5</v>
      </c>
      <c r="T18" s="70">
        <f t="shared" si="5"/>
        <v>9.15</v>
      </c>
      <c r="U18" s="70">
        <f t="shared" si="6"/>
        <v>10.433333333333332</v>
      </c>
      <c r="V18" s="5"/>
      <c r="W18" s="5"/>
      <c r="X18" s="5"/>
      <c r="Y18" s="5"/>
      <c r="Z18" s="50" t="e">
        <f>VLOOKUP(B18,Ref!$F$3:$H$367,3,FALSE)</f>
        <v>#N/A</v>
      </c>
      <c r="AA18" s="51">
        <f>SUMIF(DailyAccomplishmentReport!$B$12:$B$43,B18,DailyAccomplishmentReport!$D$12:$D$43)</f>
        <v>0</v>
      </c>
      <c r="AB18" s="94">
        <f t="shared" si="7"/>
        <v>0</v>
      </c>
      <c r="AC18" s="95">
        <f t="shared" si="8"/>
        <v>0</v>
      </c>
      <c r="AD18" s="51">
        <f t="shared" si="9"/>
        <v>0</v>
      </c>
      <c r="AE18" s="51" t="e">
        <f>VLOOKUP(Z18,Ref!$C$3:$D$14,2,)</f>
        <v>#N/A</v>
      </c>
      <c r="AF18" s="96" t="e">
        <f t="shared" si="10"/>
        <v>#N/A</v>
      </c>
    </row>
    <row r="19" spans="1:32" ht="14.25" customHeight="1">
      <c r="A19" s="5"/>
      <c r="B19" s="97">
        <f t="shared" si="11"/>
        <v>45969</v>
      </c>
      <c r="C19" s="89"/>
      <c r="D19" s="67"/>
      <c r="E19" s="284"/>
      <c r="F19" s="284"/>
      <c r="G19" s="34" t="str">
        <f t="shared" si="0"/>
        <v/>
      </c>
      <c r="H19" s="258"/>
      <c r="I19" s="359"/>
      <c r="J19" s="358"/>
      <c r="K19" s="119">
        <f>Billing!C44</f>
        <v>0</v>
      </c>
      <c r="L19" s="70">
        <f>Billing!D44</f>
        <v>0</v>
      </c>
      <c r="M19" s="5">
        <f>'Attendance Report - Manager'!G34</f>
        <v>0</v>
      </c>
      <c r="N19" s="5">
        <f>'Attendance Report - Manager'!H34</f>
        <v>0</v>
      </c>
      <c r="O19" s="5"/>
      <c r="P19" s="5">
        <f>SUMIF(DailyAccomplishmentReport!$B$12:$B$26,B19,DailyAccomplishmentReport!$AP$12:$AP$26)</f>
        <v>0</v>
      </c>
      <c r="Q19" s="70">
        <f t="shared" si="2"/>
        <v>0</v>
      </c>
      <c r="R19" s="70">
        <f t="shared" si="3"/>
        <v>0</v>
      </c>
      <c r="S19" s="93">
        <f t="shared" si="4"/>
        <v>0</v>
      </c>
      <c r="T19" s="70">
        <f t="shared" si="5"/>
        <v>-8.5</v>
      </c>
      <c r="U19" s="70">
        <f t="shared" si="6"/>
        <v>0</v>
      </c>
      <c r="V19" s="5"/>
      <c r="W19" s="5"/>
      <c r="X19" s="5"/>
      <c r="Y19" s="5"/>
      <c r="Z19" s="50" t="e">
        <f>VLOOKUP(B19,Ref!$F$3:$H$367,3,FALSE)</f>
        <v>#N/A</v>
      </c>
      <c r="AA19" s="51">
        <f>SUMIF(DailyAccomplishmentReport!$B$12:$B$43,B19,DailyAccomplishmentReport!$D$12:$D$43)</f>
        <v>0</v>
      </c>
      <c r="AB19" s="94">
        <f t="shared" si="7"/>
        <v>0</v>
      </c>
      <c r="AC19" s="95">
        <f t="shared" si="8"/>
        <v>0</v>
      </c>
      <c r="AD19" s="51">
        <f t="shared" si="9"/>
        <v>0</v>
      </c>
      <c r="AE19" s="51" t="e">
        <f>VLOOKUP(Z19,Ref!$C$3:$D$14,2,)</f>
        <v>#N/A</v>
      </c>
      <c r="AF19" s="96" t="e">
        <f t="shared" si="10"/>
        <v>#N/A</v>
      </c>
    </row>
    <row r="20" spans="1:32" ht="14.25" customHeight="1">
      <c r="A20" s="5"/>
      <c r="B20" s="97">
        <f t="shared" si="11"/>
        <v>45970</v>
      </c>
      <c r="C20" s="89"/>
      <c r="D20" s="67"/>
      <c r="E20" s="284"/>
      <c r="F20" s="284"/>
      <c r="G20" s="34" t="str">
        <f t="shared" si="0"/>
        <v/>
      </c>
      <c r="H20" s="258"/>
      <c r="I20" s="359"/>
      <c r="J20" s="358"/>
      <c r="K20" s="119">
        <f>Billing!C45</f>
        <v>0</v>
      </c>
      <c r="L20" s="70">
        <f>Billing!D45</f>
        <v>0</v>
      </c>
      <c r="M20" s="5">
        <f>'Attendance Report - Manager'!G35</f>
        <v>0</v>
      </c>
      <c r="N20" s="5">
        <f>'Attendance Report - Manager'!H35</f>
        <v>0</v>
      </c>
      <c r="O20" s="5"/>
      <c r="P20" s="5">
        <f>SUMIF(DailyAccomplishmentReport!$B$12:$B$26,B20,DailyAccomplishmentReport!$AP$12:$AP$26)</f>
        <v>0</v>
      </c>
      <c r="Q20" s="70">
        <f t="shared" si="2"/>
        <v>0</v>
      </c>
      <c r="R20" s="70">
        <f t="shared" si="3"/>
        <v>0</v>
      </c>
      <c r="S20" s="93">
        <f t="shared" si="4"/>
        <v>0</v>
      </c>
      <c r="T20" s="70">
        <f t="shared" si="5"/>
        <v>-8.5</v>
      </c>
      <c r="U20" s="70">
        <f t="shared" si="6"/>
        <v>0</v>
      </c>
      <c r="V20" s="5"/>
      <c r="W20" s="5"/>
      <c r="X20" s="5"/>
      <c r="Y20" s="5"/>
      <c r="Z20" s="50" t="e">
        <f>VLOOKUP(B20,Ref!$F$3:$H$367,3,FALSE)</f>
        <v>#N/A</v>
      </c>
      <c r="AA20" s="51">
        <f>SUMIF(DailyAccomplishmentReport!$B$12:$B$43,B20,DailyAccomplishmentReport!$D$12:$D$43)</f>
        <v>0</v>
      </c>
      <c r="AB20" s="94">
        <f t="shared" si="7"/>
        <v>0</v>
      </c>
      <c r="AC20" s="95">
        <f t="shared" si="8"/>
        <v>0</v>
      </c>
      <c r="AD20" s="51">
        <f t="shared" si="9"/>
        <v>0</v>
      </c>
      <c r="AE20" s="51" t="e">
        <f>VLOOKUP(Z20,Ref!$C$3:$D$14,2,)</f>
        <v>#N/A</v>
      </c>
      <c r="AF20" s="96" t="e">
        <f t="shared" si="10"/>
        <v>#N/A</v>
      </c>
    </row>
    <row r="21" spans="1:32" ht="14.25" customHeight="1">
      <c r="A21" s="5"/>
      <c r="B21" s="97">
        <f t="shared" si="11"/>
        <v>45971</v>
      </c>
      <c r="C21" s="89"/>
      <c r="D21" s="67"/>
      <c r="E21" s="284"/>
      <c r="F21" s="284"/>
      <c r="G21" s="34" t="str">
        <f t="shared" si="0"/>
        <v/>
      </c>
      <c r="H21" s="258"/>
      <c r="I21" s="359"/>
      <c r="J21" s="358"/>
      <c r="K21" s="119">
        <f>Billing!C46</f>
        <v>0</v>
      </c>
      <c r="L21" s="70">
        <f>Billing!D46</f>
        <v>0</v>
      </c>
      <c r="M21" s="5">
        <f>'Attendance Report - Manager'!G36</f>
        <v>0</v>
      </c>
      <c r="N21" s="5">
        <f>'Attendance Report - Manager'!H36</f>
        <v>0</v>
      </c>
      <c r="O21" s="5"/>
      <c r="P21" s="5">
        <f>SUMIF(DailyAccomplishmentReport!$B$12:$B$26,B21,DailyAccomplishmentReport!$AP$12:$AP$26)</f>
        <v>0</v>
      </c>
      <c r="Q21" s="70">
        <f t="shared" si="2"/>
        <v>0</v>
      </c>
      <c r="R21" s="70">
        <f t="shared" si="3"/>
        <v>0</v>
      </c>
      <c r="S21" s="93">
        <f t="shared" si="4"/>
        <v>0</v>
      </c>
      <c r="T21" s="70">
        <f t="shared" si="5"/>
        <v>-8.5</v>
      </c>
      <c r="U21" s="70">
        <f t="shared" si="6"/>
        <v>0</v>
      </c>
      <c r="V21" s="5"/>
      <c r="W21" s="5"/>
      <c r="X21" s="5"/>
      <c r="Y21" s="5"/>
      <c r="Z21" s="50" t="e">
        <f>VLOOKUP(B21,Ref!$F$3:$H$367,3,FALSE)</f>
        <v>#N/A</v>
      </c>
      <c r="AA21" s="51">
        <f>SUMIF(DailyAccomplishmentReport!$B$12:$B$43,B21,DailyAccomplishmentReport!$D$12:$D$43)</f>
        <v>0</v>
      </c>
      <c r="AB21" s="94">
        <f t="shared" si="7"/>
        <v>0</v>
      </c>
      <c r="AC21" s="95">
        <f t="shared" si="8"/>
        <v>0</v>
      </c>
      <c r="AD21" s="51">
        <f t="shared" si="9"/>
        <v>0</v>
      </c>
      <c r="AE21" s="51" t="e">
        <f>VLOOKUP(Z21,Ref!$C$3:$D$14,2,)</f>
        <v>#N/A</v>
      </c>
      <c r="AF21" s="96" t="e">
        <f t="shared" si="10"/>
        <v>#N/A</v>
      </c>
    </row>
    <row r="22" spans="1:32" ht="14.25" customHeight="1">
      <c r="A22" s="5"/>
      <c r="B22" s="97">
        <f t="shared" si="11"/>
        <v>45972</v>
      </c>
      <c r="C22" s="89">
        <v>0.33263888888888887</v>
      </c>
      <c r="D22" s="67">
        <v>0.72916666666666663</v>
      </c>
      <c r="E22" s="98"/>
      <c r="F22" s="99"/>
      <c r="G22" s="34">
        <f t="shared" si="0"/>
        <v>8</v>
      </c>
      <c r="H22" s="258" t="str">
        <f t="shared" si="1"/>
        <v/>
      </c>
      <c r="I22" s="359" t="s">
        <v>236</v>
      </c>
      <c r="J22" s="358"/>
      <c r="K22" s="119">
        <f>Billing!C47</f>
        <v>0</v>
      </c>
      <c r="L22" s="70">
        <f>Billing!D47</f>
        <v>0</v>
      </c>
      <c r="M22" s="5">
        <f>'Attendance Report - Manager'!G37</f>
        <v>8</v>
      </c>
      <c r="N22" s="5">
        <f>'Attendance Report - Manager'!H37</f>
        <v>0</v>
      </c>
      <c r="O22" s="5"/>
      <c r="P22" s="5">
        <f>SUMIF(DailyAccomplishmentReport!$B$12:$B$26,B22,DailyAccomplishmentReport!$AP$12:$AP$26)</f>
        <v>0</v>
      </c>
      <c r="Q22" s="70">
        <f t="shared" si="2"/>
        <v>-0.5166666666666675</v>
      </c>
      <c r="R22" s="70">
        <f t="shared" si="3"/>
        <v>0</v>
      </c>
      <c r="S22" s="93">
        <f t="shared" si="4"/>
        <v>-1</v>
      </c>
      <c r="T22" s="70">
        <f t="shared" si="5"/>
        <v>9</v>
      </c>
      <c r="U22" s="70">
        <f t="shared" si="6"/>
        <v>9.5166666666666657</v>
      </c>
      <c r="V22" s="5"/>
      <c r="W22" s="5"/>
      <c r="X22" s="5"/>
      <c r="Y22" s="5"/>
      <c r="Z22" s="50" t="e">
        <f>VLOOKUP(B22,Ref!$F$3:$H$367,3,FALSE)</f>
        <v>#N/A</v>
      </c>
      <c r="AA22" s="51">
        <f>SUMIF(DailyAccomplishmentReport!$B$12:$B$43,B22,DailyAccomplishmentReport!$D$12:$D$43)</f>
        <v>0</v>
      </c>
      <c r="AB22" s="94">
        <f t="shared" si="7"/>
        <v>0</v>
      </c>
      <c r="AC22" s="95">
        <f t="shared" si="8"/>
        <v>0</v>
      </c>
      <c r="AD22" s="51">
        <f t="shared" si="9"/>
        <v>0</v>
      </c>
      <c r="AE22" s="51" t="e">
        <f>VLOOKUP(Z22,Ref!$C$3:$D$14,2,)</f>
        <v>#N/A</v>
      </c>
      <c r="AF22" s="96" t="e">
        <f t="shared" si="10"/>
        <v>#N/A</v>
      </c>
    </row>
    <row r="23" spans="1:32" ht="14.25" customHeight="1">
      <c r="A23" s="5"/>
      <c r="B23" s="97">
        <f t="shared" si="11"/>
        <v>45973</v>
      </c>
      <c r="C23" s="89">
        <v>0.32500000000000001</v>
      </c>
      <c r="D23" s="67">
        <v>0.63888888888888895</v>
      </c>
      <c r="E23" s="98"/>
      <c r="F23" s="99"/>
      <c r="G23" s="34">
        <f t="shared" si="0"/>
        <v>5.83</v>
      </c>
      <c r="H23" s="48" t="str">
        <f t="shared" si="1"/>
        <v/>
      </c>
      <c r="I23" s="357" t="s">
        <v>237</v>
      </c>
      <c r="J23" s="358"/>
      <c r="K23" s="119">
        <f>Billing!C48</f>
        <v>0</v>
      </c>
      <c r="L23" s="70">
        <f>Billing!D48</f>
        <v>0</v>
      </c>
      <c r="M23" s="5">
        <f>'Attendance Report - Manager'!G38</f>
        <v>6.53</v>
      </c>
      <c r="N23" s="5">
        <f>'Attendance Report - Manager'!H38</f>
        <v>0</v>
      </c>
      <c r="O23" s="5"/>
      <c r="P23" s="5">
        <f>SUMIF(DailyAccomplishmentReport!$B$12:$B$26,B23,DailyAccomplishmentReport!$AP$12:$AP$26)</f>
        <v>0</v>
      </c>
      <c r="Q23" s="70">
        <f>IF(C23&lt;&gt;"", (C23-$D$5)*24,0)</f>
        <v>-0.70000000000000018</v>
      </c>
      <c r="R23" s="70">
        <f>IF(D23&lt;&gt;"", (D23-$E$5)*24,0)</f>
        <v>-2.1666666666666643</v>
      </c>
      <c r="S23" s="93">
        <f t="shared" si="4"/>
        <v>-1</v>
      </c>
      <c r="T23" s="70">
        <f>ROUND((D23-$D$5)*24,2)</f>
        <v>6.83</v>
      </c>
      <c r="U23" s="70">
        <f>(D23-C23)*24</f>
        <v>7.533333333333335</v>
      </c>
      <c r="V23" s="5"/>
      <c r="W23" s="5"/>
      <c r="X23" s="5"/>
      <c r="Y23" s="5"/>
      <c r="Z23" s="50" t="e">
        <f>VLOOKUP(B23,Ref!$F$3:$H$367,3,FALSE)</f>
        <v>#N/A</v>
      </c>
      <c r="AA23" s="51">
        <f>SUMIF(DailyAccomplishmentReport!$B$12:$B$43,B23,DailyAccomplishmentReport!$D$12:$D$43)</f>
        <v>0</v>
      </c>
      <c r="AB23" s="94">
        <f>IF(F23=$F$9,2,IF(AND(E23&gt;=0,F23&lt;=$F$8),(F23-E23)*24,IF(F23&gt;$E$9,(F23-$E$9)*24,0)))</f>
        <v>0</v>
      </c>
      <c r="AC23" s="95">
        <f t="shared" si="8"/>
        <v>0</v>
      </c>
      <c r="AD23" s="51">
        <f>ROUND((F23-E23)*24,2)</f>
        <v>0</v>
      </c>
      <c r="AE23" s="51" t="e">
        <f>VLOOKUP(Z23,Ref!$C$3:$D$14,2,)</f>
        <v>#N/A</v>
      </c>
      <c r="AF23" s="96" t="e">
        <f t="shared" si="10"/>
        <v>#N/A</v>
      </c>
    </row>
    <row r="24" spans="1:32" ht="14.25" customHeight="1">
      <c r="A24" s="5"/>
      <c r="B24" s="97">
        <f t="shared" si="11"/>
        <v>45974</v>
      </c>
      <c r="C24" s="89">
        <v>0.3347222222222222</v>
      </c>
      <c r="D24" s="67">
        <v>0.72916666666666663</v>
      </c>
      <c r="E24" s="98"/>
      <c r="F24" s="99"/>
      <c r="G24" s="34">
        <f t="shared" si="0"/>
        <v>8</v>
      </c>
      <c r="H24" s="48" t="str">
        <f t="shared" si="1"/>
        <v/>
      </c>
      <c r="I24" s="357" t="s">
        <v>238</v>
      </c>
      <c r="J24" s="358"/>
      <c r="K24" s="119">
        <f>Billing!C49</f>
        <v>0</v>
      </c>
      <c r="L24" s="70">
        <f>Billing!D49</f>
        <v>0</v>
      </c>
      <c r="M24" s="5">
        <f>'Attendance Report - Manager'!G39</f>
        <v>8</v>
      </c>
      <c r="N24" s="5">
        <f>'Attendance Report - Manager'!H39</f>
        <v>0</v>
      </c>
      <c r="O24" s="5"/>
      <c r="P24" s="5">
        <f>SUMIF(DailyAccomplishmentReport!$B$12:$B$26,B24,DailyAccomplishmentReport!$AP$12:$AP$26)</f>
        <v>0</v>
      </c>
      <c r="Q24" s="70">
        <f>IF(C24&lt;&gt;"", (C24-$D$5)*24,0)</f>
        <v>-0.46666666666666767</v>
      </c>
      <c r="R24" s="70">
        <f>IF(D24&lt;&gt;"", (D24-$E$5)*24,0)</f>
        <v>0</v>
      </c>
      <c r="S24" s="93">
        <f t="shared" si="4"/>
        <v>-0.5</v>
      </c>
      <c r="T24" s="70">
        <f>ROUND((D24-$D$5)*24,2)</f>
        <v>9</v>
      </c>
      <c r="U24" s="70">
        <f>(D24-C24)*24</f>
        <v>9.4666666666666668</v>
      </c>
      <c r="V24" s="5"/>
      <c r="W24" s="5"/>
      <c r="X24" s="5"/>
      <c r="Y24" s="5"/>
      <c r="Z24" s="50" t="e">
        <f>VLOOKUP(B24,Ref!$F$3:$H$367,3,FALSE)</f>
        <v>#N/A</v>
      </c>
      <c r="AA24" s="51">
        <f>SUMIF(DailyAccomplishmentReport!$B$12:$B$43,B24,DailyAccomplishmentReport!$D$12:$D$43)</f>
        <v>0</v>
      </c>
      <c r="AB24" s="94">
        <f>IF(F24=$F$9,2,IF(AND(E24&gt;=0,F24&lt;=$F$8),(F24-E24)*24,IF(F24&gt;$E$9,(F24-$E$9)*24,0)))</f>
        <v>0</v>
      </c>
      <c r="AC24" s="95">
        <f t="shared" si="8"/>
        <v>0</v>
      </c>
      <c r="AD24" s="51">
        <f>ROUND((F24-E24)*24,2)</f>
        <v>0</v>
      </c>
      <c r="AE24" s="51" t="e">
        <f>VLOOKUP(Z24,Ref!$C$3:$D$14,2,)</f>
        <v>#N/A</v>
      </c>
      <c r="AF24" s="96" t="e">
        <f t="shared" si="10"/>
        <v>#N/A</v>
      </c>
    </row>
    <row r="25" spans="1:32" ht="14.25" customHeight="1">
      <c r="A25" s="5"/>
      <c r="B25" s="97">
        <f t="shared" si="11"/>
        <v>45975</v>
      </c>
      <c r="C25" s="89">
        <v>0.29305555555555557</v>
      </c>
      <c r="D25" s="67">
        <v>0.72916666666666663</v>
      </c>
      <c r="E25" s="98"/>
      <c r="F25" s="89"/>
      <c r="G25" s="34">
        <f t="shared" si="0"/>
        <v>8</v>
      </c>
      <c r="H25" s="48" t="str">
        <f t="shared" si="1"/>
        <v/>
      </c>
      <c r="I25" s="359" t="s">
        <v>239</v>
      </c>
      <c r="J25" s="358"/>
      <c r="K25" s="119">
        <f>Billing!C50</f>
        <v>0</v>
      </c>
      <c r="L25" s="70">
        <f>Billing!D50</f>
        <v>0</v>
      </c>
      <c r="M25" s="5">
        <f>'Attendance Report - Manager'!G40</f>
        <v>8</v>
      </c>
      <c r="N25" s="5">
        <f>'Attendance Report - Manager'!H40</f>
        <v>0</v>
      </c>
      <c r="O25" s="5"/>
      <c r="P25" s="5">
        <f>SUMIF(DailyAccomplishmentReport!$B$12:$B$26,B25,DailyAccomplishmentReport!$AP$12:$AP$26)</f>
        <v>0</v>
      </c>
      <c r="Q25" s="70">
        <f>IF(C25&lt;&gt;"", (C25-$D$5)*24,0)</f>
        <v>-1.4666666666666668</v>
      </c>
      <c r="R25" s="70">
        <f>IF(D25&lt;&gt;"", (D25-$E$5)*24,0)</f>
        <v>0</v>
      </c>
      <c r="S25" s="93">
        <f t="shared" si="4"/>
        <v>-1.5</v>
      </c>
      <c r="T25" s="70">
        <f>ROUND((D25-$D$5)*24,2)</f>
        <v>9</v>
      </c>
      <c r="U25" s="70">
        <f>(D25-C25)*24</f>
        <v>10.466666666666665</v>
      </c>
      <c r="V25" s="5"/>
      <c r="W25" s="5"/>
      <c r="X25" s="5"/>
      <c r="Y25" s="5"/>
      <c r="Z25" s="50" t="e">
        <f>VLOOKUP(B25,Ref!$F$3:$H$367,3,FALSE)</f>
        <v>#N/A</v>
      </c>
      <c r="AA25" s="51">
        <f>SUMIF(DailyAccomplishmentReport!$B$12:$B$43,B25,DailyAccomplishmentReport!$D$12:$D$43)</f>
        <v>0</v>
      </c>
      <c r="AB25" s="94">
        <f>IF(F25=$F$9,2,IF(AND(E25&gt;=0,F25&lt;=$F$8),(F25-E25)*24,IF(F25&gt;$E$9,(F25-$E$9)*24,0)))</f>
        <v>0</v>
      </c>
      <c r="AC25" s="95">
        <f t="shared" si="8"/>
        <v>0</v>
      </c>
      <c r="AD25" s="51">
        <f>ROUND((F25-E25)*24,2)</f>
        <v>0</v>
      </c>
      <c r="AE25" s="51" t="e">
        <f>VLOOKUP(Z25,Ref!$C$3:$D$14,2,)</f>
        <v>#N/A</v>
      </c>
      <c r="AF25" s="96" t="e">
        <f t="shared" si="10"/>
        <v>#N/A</v>
      </c>
    </row>
    <row r="26" spans="1:32" ht="14.25" customHeight="1">
      <c r="A26" s="5"/>
      <c r="B26" s="97">
        <f t="shared" si="11"/>
        <v>45976</v>
      </c>
      <c r="C26" s="89"/>
      <c r="D26" s="67"/>
      <c r="E26" s="98"/>
      <c r="F26" s="89"/>
      <c r="G26" s="34" t="str">
        <f t="shared" si="0"/>
        <v/>
      </c>
      <c r="H26" s="48" t="str">
        <f t="shared" si="1"/>
        <v/>
      </c>
      <c r="I26" s="359"/>
      <c r="J26" s="358"/>
      <c r="K26" s="119">
        <f>Billing!C51</f>
        <v>0</v>
      </c>
      <c r="L26" s="70">
        <f>Billing!D51</f>
        <v>0</v>
      </c>
      <c r="M26" s="100">
        <f>'Attendance Report - Manager'!G41</f>
        <v>0</v>
      </c>
      <c r="N26" s="5">
        <f>'Attendance Report - Manager'!H41</f>
        <v>0</v>
      </c>
      <c r="O26" s="5"/>
      <c r="P26" s="5">
        <f>SUMIF(DailyAccomplishmentReport!$B$12:$B$26,B26,DailyAccomplishmentReport!$AP$12:$AP$26)</f>
        <v>0</v>
      </c>
      <c r="Q26" s="70">
        <f>IF(C26&lt;&gt;"", (C26-$D$5)*24,0)</f>
        <v>0</v>
      </c>
      <c r="R26" s="70">
        <f>IF(D26&lt;&gt;"", (D26-$E$5)*24,0)</f>
        <v>0</v>
      </c>
      <c r="S26" s="93">
        <f t="shared" si="4"/>
        <v>0</v>
      </c>
      <c r="T26" s="70">
        <f>ROUND((D26-$D$5)*24,2)</f>
        <v>-8.5</v>
      </c>
      <c r="U26" s="70">
        <f>(D26-C26)*24</f>
        <v>0</v>
      </c>
      <c r="V26" s="5"/>
      <c r="W26" s="5"/>
      <c r="X26" s="5"/>
      <c r="Y26" s="5"/>
      <c r="Z26" s="50" t="e">
        <f>VLOOKUP(B26,Ref!$F$3:$H$367,3,FALSE)</f>
        <v>#N/A</v>
      </c>
      <c r="AA26" s="51">
        <f>SUMIF(DailyAccomplishmentReport!$B$12:$B$43,B26,DailyAccomplishmentReport!$D$12:$D$43)</f>
        <v>0</v>
      </c>
      <c r="AB26" s="94">
        <f>IF(F26=$F$9,2,IF(AND(E26&gt;=0,F26&lt;=$F$8),(F26-E26)*24,IF(F26&gt;$E$9,(F26-$E$9)*24,0)))</f>
        <v>0</v>
      </c>
      <c r="AC26" s="95">
        <f t="shared" si="8"/>
        <v>0</v>
      </c>
      <c r="AD26" s="51">
        <f>ROUND((F26-E26)*24,2)</f>
        <v>0</v>
      </c>
      <c r="AE26" s="51" t="e">
        <f>VLOOKUP(Z26,Ref!$C$3:$D$14,2,)</f>
        <v>#N/A</v>
      </c>
      <c r="AF26" s="96" t="e">
        <f t="shared" si="10"/>
        <v>#N/A</v>
      </c>
    </row>
    <row r="27" spans="1:32" ht="14.25" customHeight="1">
      <c r="A27" s="5"/>
      <c r="B27" s="101"/>
      <c r="C27" s="122"/>
      <c r="D27" s="123"/>
      <c r="E27" s="102"/>
      <c r="F27" s="103"/>
      <c r="G27" s="104" t="str">
        <f>IF(AND(C27="",D27=""),"",IF(AND(C27&lt;=$D$5,D27&gt;=$E$5),8, IF(AND(Q28&lt;4,Q28&gt;0,R28&gt;=0),8-S28,IF(AND(Q28&lt;4,C27&gt;$D$5,U28&gt;5),T28-(S28+1), IF(AND(Q28&gt;3,D27&lt;$E$5),T28-S28,IF(AND(Q28&gt;3,D27&gt;=$E$5),9-S28,IF(AND(C27&gt;$D$5,U28&lt;=4),T28-S28,IF(AND(C27&gt;$D$5,U28&gt;4),U28-(S28+1),IF(AND(C27&lt;=$D$5,U28&gt;=5),T28-1,IF(AND(C27&lt;=$D$5,T28&lt;=4),T28,IF(AND(C27&lt;=$D$5,T28&lt;5),4,IF(U28&gt;5,U28-1,IF(U28&lt;=4,U28,0)))))))))))))</f>
        <v/>
      </c>
      <c r="H27" s="124"/>
      <c r="I27" s="354"/>
      <c r="J27" s="355"/>
      <c r="K27" s="119">
        <f>Billing!C52</f>
        <v>0</v>
      </c>
      <c r="L27" s="70">
        <f>Billing!D52</f>
        <v>0</v>
      </c>
      <c r="M27" s="100" t="e">
        <f>'Attendance Report - Manager'!G42</f>
        <v>#REF!</v>
      </c>
      <c r="N27" s="5" t="e">
        <f>'Attendance Report - Manager'!H42</f>
        <v>#REF!</v>
      </c>
      <c r="O27" s="5"/>
      <c r="P27" s="5">
        <f>SUMIF(DailyAccomplishmentReport!$B$12:$B$26,#REF!,DailyAccomplishmentReport!$AP$12:$AP$26)</f>
        <v>0</v>
      </c>
      <c r="Q27" s="70" t="e">
        <f>IF(#REF!&lt;&gt;"", (#REF!-$D$5)*24,0)</f>
        <v>#REF!</v>
      </c>
      <c r="R27" s="70" t="e">
        <f>IF(#REF!&lt;&gt;"", (#REF!-$E$5)*24,0)</f>
        <v>#REF!</v>
      </c>
      <c r="S27" s="93" t="e">
        <f t="shared" si="4"/>
        <v>#REF!</v>
      </c>
      <c r="T27" s="70" t="e">
        <f>ROUND((#REF!-$D$5)*24,2)</f>
        <v>#REF!</v>
      </c>
      <c r="U27" s="70" t="e">
        <f>(#REF!-#REF!)*24</f>
        <v>#REF!</v>
      </c>
      <c r="V27" s="5"/>
      <c r="W27" s="5"/>
      <c r="X27" s="5"/>
      <c r="Y27" s="5"/>
      <c r="Z27" s="50" t="e">
        <f>VLOOKUP(#REF!,Ref!$F$3:$H$367,3,FALSE)</f>
        <v>#REF!</v>
      </c>
      <c r="AA27" s="51">
        <f>SUMIF(DailyAccomplishmentReport!$B$12:$B$43,#REF!,DailyAccomplishmentReport!$D$12:$D$43)</f>
        <v>0</v>
      </c>
      <c r="AB27" s="94" t="e">
        <f>IF(#REF!=$F$9,2,IF(AND(#REF!&gt;=0,#REF!&lt;=$F$8),(#REF!-#REF!)*24,IF(#REF!&gt;$E$9,(#REF!-$E$9)*24,0)))</f>
        <v>#REF!</v>
      </c>
      <c r="AC27" s="95" t="e">
        <f t="shared" si="8"/>
        <v>#REF!</v>
      </c>
      <c r="AD27" s="51" t="e">
        <f>ROUND((#REF!-#REF!)*24,2)</f>
        <v>#REF!</v>
      </c>
      <c r="AE27" s="51" t="e">
        <f>VLOOKUP(Z27,Ref!$C$3:$D$14,2,)</f>
        <v>#REF!</v>
      </c>
      <c r="AF27" s="96" t="e">
        <f t="shared" si="10"/>
        <v>#REF!</v>
      </c>
    </row>
    <row r="28" spans="1:32" ht="14.25" customHeight="1">
      <c r="A28" s="5"/>
      <c r="B28" s="5"/>
      <c r="C28" s="107" t="s">
        <v>69</v>
      </c>
      <c r="D28" s="108"/>
      <c r="E28" s="109"/>
      <c r="F28" s="110"/>
      <c r="G28" s="111">
        <f>SUM(G12:G27)</f>
        <v>69.83</v>
      </c>
      <c r="H28" s="111">
        <f>SUM(H12:H27)</f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0"/>
      <c r="AA28" s="57"/>
      <c r="AB28" s="57"/>
      <c r="AC28" s="105"/>
      <c r="AD28" s="57"/>
      <c r="AE28" s="57"/>
      <c r="AF28" s="125"/>
    </row>
    <row r="29" spans="1:32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4.25" customHeight="1">
      <c r="A30" s="5"/>
      <c r="B30" s="112" t="s">
        <v>117</v>
      </c>
      <c r="C30" s="5"/>
      <c r="D30" s="5"/>
      <c r="E30" s="5"/>
      <c r="F30" s="5"/>
      <c r="G30" s="5"/>
      <c r="H30" s="112" t="s">
        <v>118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4.25" customHeight="1">
      <c r="A32" s="5"/>
      <c r="B32" s="288" t="s">
        <v>240</v>
      </c>
      <c r="C32" s="289"/>
      <c r="D32" s="289"/>
      <c r="E32" s="289"/>
      <c r="F32" s="5"/>
      <c r="G32" s="5"/>
      <c r="H32" s="377" t="str">
        <f>'Attendance Report_Second'!H32:I32</f>
        <v xml:space="preserve">           JUN M. SALVANERA</v>
      </c>
      <c r="I32" s="289"/>
      <c r="J32" s="14" t="str">
        <f>'Attendance Report_Second'!J32</f>
        <v>HELEN D. PACIENCIA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4.25" customHeight="1">
      <c r="A33" s="5"/>
      <c r="B33" s="114" t="s">
        <v>121</v>
      </c>
      <c r="C33" s="5"/>
      <c r="D33" s="5"/>
      <c r="E33" s="5"/>
      <c r="F33" s="5"/>
      <c r="G33" s="5"/>
      <c r="H33" s="114" t="s">
        <v>122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4.25" customHeight="1">
      <c r="A34" s="5"/>
      <c r="B34" s="112" t="s">
        <v>123</v>
      </c>
      <c r="C34" s="5"/>
      <c r="D34" s="5"/>
      <c r="E34" s="5"/>
      <c r="F34" s="5"/>
      <c r="G34" s="5"/>
      <c r="H34" s="112" t="s">
        <v>124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4.25" customHeight="1">
      <c r="A35" s="5"/>
      <c r="B35" s="5"/>
      <c r="C35" s="5"/>
      <c r="D35" s="5"/>
      <c r="E35" s="5"/>
      <c r="F35" s="5"/>
      <c r="G35" s="5"/>
      <c r="H35" s="115" t="s">
        <v>125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4.25" customHeight="1">
      <c r="A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29">
    <mergeCell ref="C10:D10"/>
    <mergeCell ref="E10:F10"/>
    <mergeCell ref="B1:J3"/>
    <mergeCell ref="B4:C4"/>
    <mergeCell ref="D4:F4"/>
    <mergeCell ref="B5:C5"/>
    <mergeCell ref="B6:C6"/>
    <mergeCell ref="B7:C8"/>
    <mergeCell ref="B10:B11"/>
    <mergeCell ref="G10:H10"/>
    <mergeCell ref="I10:J11"/>
    <mergeCell ref="B32:E32"/>
    <mergeCell ref="H32:I32"/>
    <mergeCell ref="I21:J21"/>
    <mergeCell ref="I22:J22"/>
    <mergeCell ref="I23:J23"/>
    <mergeCell ref="I24:J24"/>
    <mergeCell ref="I25:J25"/>
    <mergeCell ref="I26:J26"/>
    <mergeCell ref="I13:J13"/>
    <mergeCell ref="I14:J14"/>
    <mergeCell ref="I15:J15"/>
    <mergeCell ref="I12:J12"/>
    <mergeCell ref="I27:J27"/>
    <mergeCell ref="I16:J16"/>
    <mergeCell ref="I17:J17"/>
    <mergeCell ref="I18:J18"/>
    <mergeCell ref="I19:J19"/>
    <mergeCell ref="I20:J20"/>
  </mergeCells>
  <conditionalFormatting sqref="B12:B26">
    <cfRule type="expression" dxfId="29" priority="1" stopIfTrue="1">
      <formula>AND(Z12=97)</formula>
    </cfRule>
    <cfRule type="expression" dxfId="28" priority="2" stopIfTrue="1">
      <formula>AND(Z12=7)</formula>
    </cfRule>
    <cfRule type="expression" dxfId="27" priority="3" stopIfTrue="1">
      <formula>AND(Z12=1)</formula>
    </cfRule>
    <cfRule type="expression" dxfId="26" priority="4" stopIfTrue="1">
      <formula>AND(Z12=991)</formula>
    </cfRule>
    <cfRule type="expression" dxfId="25" priority="5" stopIfTrue="1">
      <formula>AND(Z12=91)</formula>
    </cfRule>
    <cfRule type="expression" dxfId="24" priority="6" stopIfTrue="1">
      <formula>AND(Z12=997)</formula>
    </cfRule>
    <cfRule type="expression" dxfId="23" priority="7" stopIfTrue="1">
      <formula>AND(Z12=881)</formula>
    </cfRule>
    <cfRule type="expression" dxfId="22" priority="8" stopIfTrue="1">
      <formula>AND(Z12=810)</formula>
    </cfRule>
    <cfRule type="expression" dxfId="21" priority="9" stopIfTrue="1">
      <formula>AND(Z12=887)</formula>
    </cfRule>
    <cfRule type="expression" dxfId="20" priority="10" stopIfTrue="1">
      <formula>AND(Z12=87)</formula>
    </cfRule>
  </conditionalFormatting>
  <conditionalFormatting sqref="H12:H26">
    <cfRule type="expression" dxfId="19" priority="11">
      <formula>AND(H12&lt;AA12)</formula>
    </cfRule>
  </conditionalFormatting>
  <dataValidations count="3">
    <dataValidation type="custom" allowBlank="1" showInputMessage="1" showErrorMessage="1" prompt="sa - sas" sqref="P10">
      <formula1>ISBLANK(P10)</formula1>
    </dataValidation>
    <dataValidation type="custom" allowBlank="1" showInputMessage="1" showErrorMessage="1" prompt="Invalid Time - Please enter valid time!" sqref="E5">
      <formula1>AND(GTE(E5,MIN((0.666666666666667),(0.833333333333333))),LTE(E5,MAX((0.666666666666667),(0.833333333333333))))</formula1>
    </dataValidation>
    <dataValidation type="custom" allowBlank="1" showInputMessage="1" showErrorMessage="1" prompt="Invalid Time - Please enter valid time!" sqref="D5">
      <formula1>AND(GTE(D5,MIN((0.25),(0.416666666666667))),LTE(D5,MAX((0.25),(0.416666666666667))))</formula1>
    </dataValidation>
  </dataValidations>
  <printOptions horizontalCentered="1" verticalCentered="1"/>
  <pageMargins left="0.3" right="0.3" top="0.3" bottom="0.3" header="0" footer="0"/>
  <pageSetup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00"/>
  <sheetViews>
    <sheetView showGridLines="0" topLeftCell="A23" zoomScale="89" zoomScaleNormal="89" workbookViewId="0">
      <selection activeCell="I12" sqref="I12:J25"/>
    </sheetView>
  </sheetViews>
  <sheetFormatPr defaultColWidth="14.42578125" defaultRowHeight="15" customHeight="1"/>
  <cols>
    <col min="1" max="8" width="9.140625" customWidth="1"/>
    <col min="9" max="9" width="36.7109375" customWidth="1"/>
    <col min="10" max="10" width="42.28515625" customWidth="1"/>
    <col min="11" max="11" width="5.42578125" hidden="1" customWidth="1"/>
    <col min="12" max="12" width="4.42578125" hidden="1" customWidth="1"/>
    <col min="13" max="14" width="2" hidden="1" customWidth="1"/>
    <col min="15" max="15" width="3.28515625" hidden="1" customWidth="1"/>
    <col min="16" max="19" width="9.140625" hidden="1" customWidth="1"/>
    <col min="20" max="20" width="7.140625" hidden="1" customWidth="1"/>
    <col min="21" max="21" width="3.42578125" hidden="1" customWidth="1"/>
    <col min="22" max="22" width="6" customWidth="1"/>
    <col min="23" max="32" width="9.140625" hidden="1" customWidth="1"/>
  </cols>
  <sheetData>
    <row r="1" spans="1:32" ht="15" customHeight="1">
      <c r="A1" s="5"/>
      <c r="B1" s="363" t="s">
        <v>35</v>
      </c>
      <c r="C1" s="289"/>
      <c r="D1" s="289"/>
      <c r="E1" s="289"/>
      <c r="F1" s="289"/>
      <c r="G1" s="289"/>
      <c r="H1" s="289"/>
      <c r="I1" s="289"/>
      <c r="J1" s="289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5" customHeight="1">
      <c r="A2" s="5"/>
      <c r="B2" s="364"/>
      <c r="C2" s="289"/>
      <c r="D2" s="289"/>
      <c r="E2" s="289"/>
      <c r="F2" s="289"/>
      <c r="G2" s="289"/>
      <c r="H2" s="289"/>
      <c r="I2" s="289"/>
      <c r="J2" s="28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5.75" customHeight="1">
      <c r="A3" s="5"/>
      <c r="B3" s="364"/>
      <c r="C3" s="289"/>
      <c r="D3" s="289"/>
      <c r="E3" s="289"/>
      <c r="F3" s="289"/>
      <c r="G3" s="289"/>
      <c r="H3" s="289"/>
      <c r="I3" s="289"/>
      <c r="J3" s="289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4.25" customHeight="1">
      <c r="A4" s="5"/>
      <c r="B4" s="350" t="s">
        <v>101</v>
      </c>
      <c r="C4" s="365"/>
      <c r="D4" s="366" t="s">
        <v>240</v>
      </c>
      <c r="E4" s="425"/>
      <c r="F4" s="42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4.25" customHeight="1">
      <c r="A5" s="5"/>
      <c r="B5" s="340" t="s">
        <v>102</v>
      </c>
      <c r="C5" s="368"/>
      <c r="D5" s="66">
        <v>0.35416666666666669</v>
      </c>
      <c r="E5" s="67">
        <v>0.72916666666666663</v>
      </c>
      <c r="F5" s="68">
        <v>6.9444444444444447E-4</v>
      </c>
      <c r="G5" s="68">
        <f>E5-F5</f>
        <v>0.72847222222222219</v>
      </c>
      <c r="H5" s="69"/>
      <c r="I5" s="5"/>
      <c r="J5" s="5"/>
      <c r="K5" s="5"/>
      <c r="L5" s="5"/>
      <c r="M5" s="5"/>
      <c r="N5" s="5"/>
      <c r="O5" s="7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4.25" customHeight="1">
      <c r="A6" s="5"/>
      <c r="B6" s="340" t="s">
        <v>103</v>
      </c>
      <c r="C6" s="368"/>
      <c r="D6" s="71" t="s">
        <v>104</v>
      </c>
      <c r="E6" s="72"/>
      <c r="F6" s="73"/>
      <c r="G6" s="73"/>
      <c r="H6" s="7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4.25" customHeight="1">
      <c r="A7" s="5"/>
      <c r="B7" s="345" t="s">
        <v>105</v>
      </c>
      <c r="C7" s="369"/>
      <c r="D7" s="19" t="s">
        <v>40</v>
      </c>
      <c r="E7" s="20" t="s">
        <v>41</v>
      </c>
      <c r="F7" s="73"/>
      <c r="G7" s="73"/>
      <c r="H7" s="7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4.25" customHeight="1">
      <c r="A8" s="5"/>
      <c r="B8" s="347"/>
      <c r="C8" s="370"/>
      <c r="D8" s="118">
        <v>45977</v>
      </c>
      <c r="E8" s="74" t="s">
        <v>242</v>
      </c>
      <c r="F8" s="68">
        <v>0.25</v>
      </c>
      <c r="G8" s="75"/>
      <c r="H8" s="7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4.25" customHeight="1">
      <c r="A9" s="5"/>
      <c r="B9" s="5"/>
      <c r="C9" s="5"/>
      <c r="D9" s="76"/>
      <c r="E9" s="77">
        <v>0.91666666666666663</v>
      </c>
      <c r="F9" s="77">
        <v>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4.25" customHeight="1">
      <c r="A10" s="5"/>
      <c r="B10" s="371" t="s">
        <v>42</v>
      </c>
      <c r="C10" s="361" t="s">
        <v>106</v>
      </c>
      <c r="D10" s="362"/>
      <c r="E10" s="361" t="s">
        <v>107</v>
      </c>
      <c r="F10" s="362"/>
      <c r="G10" s="361" t="s">
        <v>108</v>
      </c>
      <c r="H10" s="362"/>
      <c r="I10" s="373" t="s">
        <v>109</v>
      </c>
      <c r="J10" s="374"/>
      <c r="K10" s="5"/>
      <c r="L10" s="5"/>
      <c r="M10" s="5"/>
      <c r="N10" s="5"/>
      <c r="O10" s="5"/>
      <c r="P10" s="1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4.25" customHeight="1">
      <c r="A11" s="5"/>
      <c r="B11" s="372"/>
      <c r="C11" s="78" t="s">
        <v>110</v>
      </c>
      <c r="D11" s="79" t="s">
        <v>111</v>
      </c>
      <c r="E11" s="80" t="s">
        <v>110</v>
      </c>
      <c r="F11" s="81" t="s">
        <v>111</v>
      </c>
      <c r="G11" s="78" t="s">
        <v>63</v>
      </c>
      <c r="H11" s="79" t="s">
        <v>112</v>
      </c>
      <c r="I11" s="375"/>
      <c r="J11" s="376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82"/>
      <c r="AA11" s="83"/>
      <c r="AB11" s="84" t="s">
        <v>113</v>
      </c>
      <c r="AC11" s="85">
        <v>0.1</v>
      </c>
      <c r="AD11" s="86" t="s">
        <v>114</v>
      </c>
      <c r="AE11" s="86" t="s">
        <v>115</v>
      </c>
      <c r="AF11" s="87" t="s">
        <v>116</v>
      </c>
    </row>
    <row r="12" spans="1:32" ht="14.25" customHeight="1">
      <c r="A12" s="5"/>
      <c r="B12" s="88">
        <f>D8</f>
        <v>45977</v>
      </c>
      <c r="C12" s="89"/>
      <c r="D12" s="67"/>
      <c r="E12" s="90"/>
      <c r="F12" s="91"/>
      <c r="G12" s="34"/>
      <c r="H12" s="257" t="str">
        <f t="shared" ref="H12:H26" si="0">IF(F12-E12*24=0,"",IF(ROUND((F12-E12)*24,2)&gt;=6,ROUND((F12-E12)*24,2)-1,ROUND((F12-E12)*24,2)))</f>
        <v/>
      </c>
      <c r="I12" s="359"/>
      <c r="J12" s="358"/>
      <c r="K12" s="92">
        <f>Billing!C22</f>
        <v>0</v>
      </c>
      <c r="L12" s="70">
        <f>Billing!D22</f>
        <v>0</v>
      </c>
      <c r="M12" s="5">
        <f>'Attendance Report - Manager'!G12</f>
        <v>0</v>
      </c>
      <c r="N12" s="5">
        <f>'Attendance Report - Manager'!H12</f>
        <v>0</v>
      </c>
      <c r="O12" s="5"/>
      <c r="P12" s="5">
        <f>SUMIF(DailyAccomplishmentReport!$B$12:$B$26,B12,DailyAccomplishmentReport!$AP$12:$AP$26)</f>
        <v>0</v>
      </c>
      <c r="Q12" s="70">
        <f t="shared" ref="Q12:Q26" si="1">IF(C12&lt;&gt;"", (C12-$D$5)*24,0)</f>
        <v>0</v>
      </c>
      <c r="R12" s="70">
        <f t="shared" ref="R12:R26" si="2">IF(D12&lt;&gt;"", (D12-$E$5)*24,0)</f>
        <v>0</v>
      </c>
      <c r="S12" s="93">
        <f t="shared" ref="S12:S26" si="3">(ROUNDUP(Q12/0.5,0)*0.5 )</f>
        <v>0</v>
      </c>
      <c r="T12" s="70">
        <f t="shared" ref="T12:T26" si="4">ROUND((D12-$D$5)*24,2)</f>
        <v>-8.5</v>
      </c>
      <c r="U12" s="70">
        <f t="shared" ref="U12:U26" si="5">(D12-C12)*24</f>
        <v>0</v>
      </c>
      <c r="V12" s="5"/>
      <c r="W12" s="5"/>
      <c r="X12" s="5"/>
      <c r="Y12" s="5"/>
      <c r="Z12" s="50" t="e">
        <f>VLOOKUP(B12,Ref!$F$3:$H$367,3,FALSE)</f>
        <v>#N/A</v>
      </c>
      <c r="AA12" s="51">
        <f>SUMIF(DailyAccomplishmentReport!$B$12:$B$43,B12,DailyAccomplishmentReport!$D$12:$D$43)</f>
        <v>0</v>
      </c>
      <c r="AB12" s="94">
        <f t="shared" ref="AB12:AB26" si="6">IF(F12=$F$9,2,IF(AND(E12&gt;=0,F12&lt;=$F$8),(F12-E12)*24,IF(F12&gt;$E$9,(F12-$E$9)*24,0)))</f>
        <v>0</v>
      </c>
      <c r="AC12" s="95">
        <f t="shared" ref="AC12:AC26" si="7">ROUND(AB12*$AC$11,2)</f>
        <v>0</v>
      </c>
      <c r="AD12" s="51">
        <f t="shared" ref="AD12:AD26" si="8">ROUND((F12-E12)*24,2)</f>
        <v>0</v>
      </c>
      <c r="AE12" s="51" t="e">
        <f>VLOOKUP(Z12,Ref!$C$3:$D$14,2,)</f>
        <v>#N/A</v>
      </c>
      <c r="AF12" s="96" t="e">
        <f t="shared" ref="AF12:AF26" si="9">AD12*AE12</f>
        <v>#N/A</v>
      </c>
    </row>
    <row r="13" spans="1:32" ht="14.25" customHeight="1">
      <c r="A13" s="5"/>
      <c r="B13" s="97">
        <f t="shared" ref="B13:B26" si="10">B12+1</f>
        <v>45978</v>
      </c>
      <c r="C13" s="89">
        <v>0.35416666666666669</v>
      </c>
      <c r="D13" s="67">
        <v>0.7680555555555556</v>
      </c>
      <c r="E13" s="98"/>
      <c r="F13" s="99"/>
      <c r="G13" s="34">
        <f t="shared" ref="G12:G26" si="11">IF(AND(C13="",D13=""),"",IF(AND(C13&lt;=$D$5,D13&gt;=$E$5),8, IF(AND(Q13&lt;4,Q13&gt;0,R13&gt;=0),8-S13,IF(AND(Q13&lt;4,C13&gt;$D$5,U13&gt;5),T13-(S13+1), IF(AND(Q13&gt;3,D13&lt;$E$5),T13-S13,IF(AND(Q13&gt;3,D13&gt;=$E$5),9-S13,IF(AND(C13&gt;$D$5,U13&lt;=4),T13-S13,IF(AND(C13&gt;$D$5,U13&gt;4),U13-(S13+1),IF(AND(C13&lt;=$D$5,U13&gt;=5),T13-1,IF(AND(C13&lt;=$D$5,T13&lt;=4),T13,IF(AND(C13&lt;=$D$5,T13&lt;5),4,IF(U13&gt;5,U13-1,IF(U13&lt;=4,U13,0)))))))))))))</f>
        <v>8</v>
      </c>
      <c r="H13" s="258" t="str">
        <f t="shared" si="0"/>
        <v/>
      </c>
      <c r="I13" s="359" t="s">
        <v>236</v>
      </c>
      <c r="J13" s="358"/>
      <c r="K13" s="92">
        <f>Billing!C23</f>
        <v>0</v>
      </c>
      <c r="L13" s="70">
        <f>Billing!D23</f>
        <v>0</v>
      </c>
      <c r="M13" s="5">
        <f>'Attendance Report - Manager'!G13</f>
        <v>8</v>
      </c>
      <c r="N13" s="5">
        <f>'Attendance Report - Manager'!H13</f>
        <v>0</v>
      </c>
      <c r="O13" s="5"/>
      <c r="P13" s="5">
        <f>SUMIF(DailyAccomplishmentReport!$B$12:$B$26,B13,DailyAccomplishmentReport!$AP$12:$AP$26)</f>
        <v>0</v>
      </c>
      <c r="Q13" s="70">
        <f t="shared" si="1"/>
        <v>0</v>
      </c>
      <c r="R13" s="70">
        <f t="shared" si="2"/>
        <v>0.93333333333333535</v>
      </c>
      <c r="S13" s="93">
        <f t="shared" si="3"/>
        <v>0</v>
      </c>
      <c r="T13" s="70">
        <f t="shared" si="4"/>
        <v>9.93</v>
      </c>
      <c r="U13" s="70">
        <f t="shared" si="5"/>
        <v>9.9333333333333336</v>
      </c>
      <c r="V13" s="70"/>
      <c r="W13" s="5"/>
      <c r="X13" s="5"/>
      <c r="Y13" s="5"/>
      <c r="Z13" s="50" t="e">
        <f>VLOOKUP(B13,Ref!$F$3:$H$367,3,FALSE)</f>
        <v>#N/A</v>
      </c>
      <c r="AA13" s="51">
        <f>SUMIF(DailyAccomplishmentReport!$B$12:$B$43,B13,DailyAccomplishmentReport!$D$12:$D$43)</f>
        <v>0</v>
      </c>
      <c r="AB13" s="94">
        <f t="shared" si="6"/>
        <v>0</v>
      </c>
      <c r="AC13" s="95">
        <f t="shared" si="7"/>
        <v>0</v>
      </c>
      <c r="AD13" s="51">
        <f t="shared" si="8"/>
        <v>0</v>
      </c>
      <c r="AE13" s="51" t="e">
        <f>VLOOKUP(Z13,Ref!$C$3:$D$14,2,)</f>
        <v>#N/A</v>
      </c>
      <c r="AF13" s="96" t="e">
        <f t="shared" si="9"/>
        <v>#N/A</v>
      </c>
    </row>
    <row r="14" spans="1:32" ht="14.25" customHeight="1">
      <c r="A14" s="5"/>
      <c r="B14" s="97">
        <f t="shared" si="10"/>
        <v>45979</v>
      </c>
      <c r="C14" s="89">
        <v>0.34236111111111112</v>
      </c>
      <c r="D14" s="67">
        <v>0.77361111111111114</v>
      </c>
      <c r="E14" s="98"/>
      <c r="F14" s="99"/>
      <c r="G14" s="34">
        <f>IF(AND(C14="",D14=""),"",IF(AND(C14&lt;=$D$5,D14&gt;=$E$5),8, IF(AND(Q14&lt;4,Q14&gt;0,R14&gt;=0),8-S14,IF(AND(Q14&lt;4,C14&gt;$D$5,U14&gt;5),T14-(S14+1), IF(AND(Q14&gt;3,D14&lt;$E$5),T14-S14,IF(AND(Q14&gt;3,D14&gt;=$E$5),9-S14,IF(AND(C14&gt;$D$5,U14&lt;=4),T14-S14,IF(AND(C14&gt;$D$5,U14&gt;4),U14-(S14+1),IF(AND(C14&lt;=$D$5,U14&gt;=5),T14-1,IF(AND(C14&lt;=$D$5,T14&lt;=4),T14,IF(AND(C14&lt;=$D$5,T14&lt;5),4,IF(U14&gt;5,U14-1,IF(U14&lt;=4,U14,0)))))))))))))</f>
        <v>8</v>
      </c>
      <c r="H14" s="258" t="str">
        <f t="shared" si="0"/>
        <v/>
      </c>
      <c r="I14" s="359" t="s">
        <v>236</v>
      </c>
      <c r="J14" s="358"/>
      <c r="K14" s="92">
        <f>Billing!C24</f>
        <v>0</v>
      </c>
      <c r="L14" s="70">
        <f>Billing!D24</f>
        <v>0</v>
      </c>
      <c r="M14" s="5">
        <f>'Attendance Report - Manager'!G14</f>
        <v>8</v>
      </c>
      <c r="N14" s="5">
        <f>'Attendance Report - Manager'!H14</f>
        <v>0</v>
      </c>
      <c r="O14" s="5"/>
      <c r="P14" s="5">
        <f>SUMIF(DailyAccomplishmentReport!$B$12:$B$26,B14,DailyAccomplishmentReport!$AP$12:$AP$26)</f>
        <v>0</v>
      </c>
      <c r="Q14" s="70">
        <f t="shared" si="1"/>
        <v>-0.28333333333333366</v>
      </c>
      <c r="R14" s="70">
        <f t="shared" si="2"/>
        <v>1.0666666666666682</v>
      </c>
      <c r="S14" s="93">
        <f t="shared" si="3"/>
        <v>-0.5</v>
      </c>
      <c r="T14" s="70">
        <f t="shared" si="4"/>
        <v>10.07</v>
      </c>
      <c r="U14" s="70">
        <f t="shared" si="5"/>
        <v>10.350000000000001</v>
      </c>
      <c r="V14" s="5"/>
      <c r="W14" s="5"/>
      <c r="X14" s="5"/>
      <c r="Y14" s="5"/>
      <c r="Z14" s="50" t="e">
        <f>VLOOKUP(B14,Ref!$F$3:$H$367,3,FALSE)</f>
        <v>#N/A</v>
      </c>
      <c r="AA14" s="51">
        <f>SUMIF(DailyAccomplishmentReport!$B$12:$B$43,B14,DailyAccomplishmentReport!$D$12:$D$43)</f>
        <v>0</v>
      </c>
      <c r="AB14" s="94">
        <f t="shared" si="6"/>
        <v>0</v>
      </c>
      <c r="AC14" s="95">
        <f t="shared" si="7"/>
        <v>0</v>
      </c>
      <c r="AD14" s="51">
        <f t="shared" si="8"/>
        <v>0</v>
      </c>
      <c r="AE14" s="51" t="e">
        <f>VLOOKUP(Z14,Ref!$C$3:$D$14,2,)</f>
        <v>#N/A</v>
      </c>
      <c r="AF14" s="96" t="e">
        <f t="shared" si="9"/>
        <v>#N/A</v>
      </c>
    </row>
    <row r="15" spans="1:32" ht="14.25" customHeight="1">
      <c r="A15" s="5"/>
      <c r="B15" s="97">
        <f t="shared" si="10"/>
        <v>45980</v>
      </c>
      <c r="C15" s="89">
        <v>0.32708333333333334</v>
      </c>
      <c r="D15" s="67">
        <v>0.76249999999999996</v>
      </c>
      <c r="E15" s="98"/>
      <c r="F15" s="99"/>
      <c r="G15" s="34">
        <f>IF(AND(C15="",D15=""),"",IF(AND(C15&lt;=$D$5,D15&gt;=$E$5),8, IF(AND(Q15&lt;4,Q15&gt;0,R15&gt;=0),8-S15,IF(AND(Q15&lt;4,C15&gt;$D$5,U15&gt;5),T15-(S15+1), IF(AND(Q15&gt;3,D15&lt;$E$5),T15-S15,IF(AND(Q15&gt;3,D15&gt;=$E$5),9-S15,IF(AND(C15&gt;$D$5,U15&lt;=4),T15-S15,IF(AND(C15&gt;$D$5,U15&gt;4),U15-(S15+1),IF(AND(C15&lt;=$D$5,U15&gt;=5),T15-1,IF(AND(C15&lt;=$D$5,T15&lt;=4),T15,IF(AND(C15&lt;=$D$5,T15&lt;5),4,IF(U15&gt;5,U15-1,IF(U15&lt;=4,U15,0)))))))))))))</f>
        <v>8</v>
      </c>
      <c r="H15" s="258" t="str">
        <f t="shared" si="0"/>
        <v/>
      </c>
      <c r="I15" s="359" t="s">
        <v>236</v>
      </c>
      <c r="J15" s="358"/>
      <c r="K15" s="92">
        <f>Billing!C25</f>
        <v>0</v>
      </c>
      <c r="L15" s="70">
        <f>Billing!D25</f>
        <v>0</v>
      </c>
      <c r="M15" s="5">
        <f>'Attendance Report - Manager'!G15</f>
        <v>8</v>
      </c>
      <c r="N15" s="5">
        <f>'Attendance Report - Manager'!H15</f>
        <v>0</v>
      </c>
      <c r="O15" s="5"/>
      <c r="P15" s="5">
        <f>SUMIF(DailyAccomplishmentReport!$B$12:$B$26,B15,DailyAccomplishmentReport!$AP$12:$AP$26)</f>
        <v>0</v>
      </c>
      <c r="Q15" s="70">
        <f t="shared" si="1"/>
        <v>-0.65000000000000036</v>
      </c>
      <c r="R15" s="70">
        <f t="shared" si="2"/>
        <v>0.79999999999999982</v>
      </c>
      <c r="S15" s="93">
        <f t="shared" si="3"/>
        <v>-1</v>
      </c>
      <c r="T15" s="70">
        <f t="shared" si="4"/>
        <v>9.8000000000000007</v>
      </c>
      <c r="U15" s="70">
        <f t="shared" si="5"/>
        <v>10.45</v>
      </c>
      <c r="V15" s="5"/>
      <c r="W15" s="5"/>
      <c r="X15" s="5"/>
      <c r="Y15" s="5"/>
      <c r="Z15" s="50" t="e">
        <f>VLOOKUP(B15,Ref!$F$3:$H$367,3,FALSE)</f>
        <v>#N/A</v>
      </c>
      <c r="AA15" s="51">
        <f>SUMIF(DailyAccomplishmentReport!$B$12:$B$43,B15,DailyAccomplishmentReport!$D$12:$D$43)</f>
        <v>0</v>
      </c>
      <c r="AB15" s="94">
        <f t="shared" si="6"/>
        <v>0</v>
      </c>
      <c r="AC15" s="95">
        <f t="shared" si="7"/>
        <v>0</v>
      </c>
      <c r="AD15" s="51">
        <f t="shared" si="8"/>
        <v>0</v>
      </c>
      <c r="AE15" s="51" t="e">
        <f>VLOOKUP(Z15,Ref!$C$3:$D$14,2,)</f>
        <v>#N/A</v>
      </c>
      <c r="AF15" s="96" t="e">
        <f t="shared" si="9"/>
        <v>#N/A</v>
      </c>
    </row>
    <row r="16" spans="1:32" ht="14.25" customHeight="1">
      <c r="A16" s="5"/>
      <c r="B16" s="97">
        <f t="shared" si="10"/>
        <v>45981</v>
      </c>
      <c r="C16" s="89">
        <v>0.35416666666666669</v>
      </c>
      <c r="D16" s="67">
        <v>0.79374999999999996</v>
      </c>
      <c r="E16" s="98"/>
      <c r="F16" s="99"/>
      <c r="G16" s="34">
        <f>IF(AND(C16="",D16=""),"",IF(AND(C16&lt;=$D$5,D16&gt;=$E$5),8, IF(AND(Q16&lt;4,Q16&gt;0,R16&gt;=0),8-S16,IF(AND(Q16&lt;4,C16&gt;$D$5,U16&gt;5),T16-(S16+1), IF(AND(Q16&gt;3,D16&lt;$E$5),T16-S16,IF(AND(Q16&gt;3,D16&gt;=$E$5),9-S16,IF(AND(C16&gt;$D$5,U16&lt;=4),T16-S16,IF(AND(C16&gt;$D$5,U16&gt;4),U16-(S16+1),IF(AND(C16&lt;=$D$5,U16&gt;=5),T16-1,IF(AND(C16&lt;=$D$5,T16&lt;=4),T16,IF(AND(C16&lt;=$D$5,T16&lt;5),4,IF(U16&gt;5,U16-1,IF(U16&lt;=4,U16,0)))))))))))))</f>
        <v>8</v>
      </c>
      <c r="H16" s="258" t="str">
        <f t="shared" si="0"/>
        <v/>
      </c>
      <c r="I16" s="359" t="s">
        <v>245</v>
      </c>
      <c r="J16" s="427"/>
      <c r="K16" s="92">
        <f>Billing!C26</f>
        <v>0</v>
      </c>
      <c r="L16" s="70">
        <f>Billing!D26</f>
        <v>0</v>
      </c>
      <c r="M16" s="5">
        <f>'Attendance Report - Manager'!G16</f>
        <v>8</v>
      </c>
      <c r="N16" s="5">
        <f>'Attendance Report - Manager'!H16</f>
        <v>0</v>
      </c>
      <c r="O16" s="5"/>
      <c r="P16" s="5">
        <f>SUMIF(DailyAccomplishmentReport!$B$12:$B$26,B16,DailyAccomplishmentReport!$AP$12:$AP$26)</f>
        <v>0</v>
      </c>
      <c r="Q16" s="70">
        <f t="shared" si="1"/>
        <v>0</v>
      </c>
      <c r="R16" s="70">
        <f t="shared" si="2"/>
        <v>1.5499999999999998</v>
      </c>
      <c r="S16" s="93">
        <f t="shared" si="3"/>
        <v>0</v>
      </c>
      <c r="T16" s="70">
        <f t="shared" si="4"/>
        <v>10.55</v>
      </c>
      <c r="U16" s="70">
        <f t="shared" si="5"/>
        <v>10.549999999999999</v>
      </c>
      <c r="V16" s="5"/>
      <c r="W16" s="5"/>
      <c r="X16" s="5"/>
      <c r="Y16" s="5"/>
      <c r="Z16" s="50" t="e">
        <f>VLOOKUP(B16,Ref!$F$3:$H$367,3,FALSE)</f>
        <v>#N/A</v>
      </c>
      <c r="AA16" s="51">
        <f>SUMIF(DailyAccomplishmentReport!$B$12:$B$43,B16,DailyAccomplishmentReport!$D$12:$D$43)</f>
        <v>0</v>
      </c>
      <c r="AB16" s="94">
        <f t="shared" si="6"/>
        <v>0</v>
      </c>
      <c r="AC16" s="95">
        <f t="shared" si="7"/>
        <v>0</v>
      </c>
      <c r="AD16" s="51">
        <f t="shared" si="8"/>
        <v>0</v>
      </c>
      <c r="AE16" s="51" t="e">
        <f>VLOOKUP(Z16,Ref!$C$3:$D$14,2,)</f>
        <v>#N/A</v>
      </c>
      <c r="AF16" s="96" t="e">
        <f t="shared" si="9"/>
        <v>#N/A</v>
      </c>
    </row>
    <row r="17" spans="1:32" ht="14.25" customHeight="1">
      <c r="A17" s="5"/>
      <c r="B17" s="97">
        <f t="shared" si="10"/>
        <v>45982</v>
      </c>
      <c r="C17" s="89">
        <v>0.32083333333333336</v>
      </c>
      <c r="D17" s="67">
        <v>0.74513888888888891</v>
      </c>
      <c r="E17" s="98"/>
      <c r="F17" s="99"/>
      <c r="G17" s="34">
        <f>IF(AND(C17="",D17=""),"",IF(AND(C17&lt;=$D$5,D17&gt;=$E$5),8, IF(AND(Q17&lt;4,Q17&gt;0,R17&gt;=0),8-S17,IF(AND(Q17&lt;4,C17&gt;$D$5,U17&gt;5),T17-(S17+1), IF(AND(Q17&gt;3,D17&lt;$E$5),T17-S17,IF(AND(Q17&gt;3,D17&gt;=$E$5),9-S17,IF(AND(C17&gt;$D$5,U17&lt;=4),T17-S17,IF(AND(C17&gt;$D$5,U17&gt;4),U17-(S17+1),IF(AND(C17&lt;=$D$5,U17&gt;=5),T17-1,IF(AND(C17&lt;=$D$5,T17&lt;=4),T17,IF(AND(C17&lt;=$D$5,T17&lt;5),4,IF(U17&gt;5,U17-1,IF(U17&lt;=4,U17,0)))))))))))))</f>
        <v>8</v>
      </c>
      <c r="H17" s="258" t="str">
        <f t="shared" si="0"/>
        <v/>
      </c>
      <c r="I17" s="359" t="s">
        <v>245</v>
      </c>
      <c r="J17" s="427"/>
      <c r="K17" s="92">
        <f>Billing!C27</f>
        <v>0</v>
      </c>
      <c r="L17" s="70">
        <f>Billing!D27</f>
        <v>0</v>
      </c>
      <c r="M17" s="5">
        <f>'Attendance Report - Manager'!G17</f>
        <v>8</v>
      </c>
      <c r="N17" s="5">
        <f>'Attendance Report - Manager'!H17</f>
        <v>0</v>
      </c>
      <c r="O17" s="5"/>
      <c r="P17" s="5">
        <f>SUMIF(DailyAccomplishmentReport!$B$12:$B$26,B17,DailyAccomplishmentReport!$AP$12:$AP$26)</f>
        <v>0</v>
      </c>
      <c r="Q17" s="70">
        <f t="shared" si="1"/>
        <v>-0.79999999999999982</v>
      </c>
      <c r="R17" s="70">
        <f t="shared" si="2"/>
        <v>0.38333333333333464</v>
      </c>
      <c r="S17" s="93">
        <f t="shared" si="3"/>
        <v>-1</v>
      </c>
      <c r="T17" s="70">
        <f t="shared" si="4"/>
        <v>9.3800000000000008</v>
      </c>
      <c r="U17" s="70">
        <f t="shared" si="5"/>
        <v>10.183333333333334</v>
      </c>
      <c r="V17" s="5"/>
      <c r="W17" s="5"/>
      <c r="X17" s="5"/>
      <c r="Y17" s="5"/>
      <c r="Z17" s="50" t="e">
        <f>VLOOKUP(B17,Ref!$F$3:$H$367,3,FALSE)</f>
        <v>#N/A</v>
      </c>
      <c r="AA17" s="51">
        <f>SUMIF(DailyAccomplishmentReport!$B$12:$B$43,B17,DailyAccomplishmentReport!$D$12:$D$43)</f>
        <v>0</v>
      </c>
      <c r="AB17" s="94">
        <f t="shared" si="6"/>
        <v>0</v>
      </c>
      <c r="AC17" s="95">
        <f t="shared" si="7"/>
        <v>0</v>
      </c>
      <c r="AD17" s="51">
        <f t="shared" si="8"/>
        <v>0</v>
      </c>
      <c r="AE17" s="51" t="e">
        <f>VLOOKUP(Z17,Ref!$C$3:$D$14,2,)</f>
        <v>#N/A</v>
      </c>
      <c r="AF17" s="96" t="e">
        <f t="shared" si="9"/>
        <v>#N/A</v>
      </c>
    </row>
    <row r="18" spans="1:32" ht="14.25" customHeight="1">
      <c r="A18" s="5"/>
      <c r="B18" s="97">
        <f t="shared" si="10"/>
        <v>45983</v>
      </c>
      <c r="C18" s="89"/>
      <c r="D18" s="67"/>
      <c r="E18" s="98"/>
      <c r="F18" s="99"/>
      <c r="G18" s="34" t="str">
        <f t="shared" si="11"/>
        <v/>
      </c>
      <c r="H18" s="258" t="str">
        <f t="shared" si="0"/>
        <v/>
      </c>
      <c r="I18" s="356"/>
      <c r="J18" s="305"/>
      <c r="K18" s="92">
        <f>Billing!C28</f>
        <v>0</v>
      </c>
      <c r="L18" s="70">
        <f>Billing!D28</f>
        <v>0</v>
      </c>
      <c r="M18" s="5">
        <f>'Attendance Report - Manager'!G18</f>
        <v>0</v>
      </c>
      <c r="N18" s="5">
        <f>'Attendance Report - Manager'!H18</f>
        <v>0</v>
      </c>
      <c r="O18" s="5"/>
      <c r="P18" s="5">
        <f>SUMIF(DailyAccomplishmentReport!$B$12:$B$26,B18,DailyAccomplishmentReport!$AP$12:$AP$26)</f>
        <v>0</v>
      </c>
      <c r="Q18" s="70">
        <f t="shared" si="1"/>
        <v>0</v>
      </c>
      <c r="R18" s="70">
        <f t="shared" si="2"/>
        <v>0</v>
      </c>
      <c r="S18" s="93">
        <f t="shared" si="3"/>
        <v>0</v>
      </c>
      <c r="T18" s="70">
        <f t="shared" si="4"/>
        <v>-8.5</v>
      </c>
      <c r="U18" s="70">
        <f t="shared" si="5"/>
        <v>0</v>
      </c>
      <c r="V18" s="5"/>
      <c r="W18" s="5"/>
      <c r="X18" s="5"/>
      <c r="Y18" s="5"/>
      <c r="Z18" s="50" t="e">
        <f>VLOOKUP(B18,Ref!$F$3:$H$367,3,FALSE)</f>
        <v>#N/A</v>
      </c>
      <c r="AA18" s="51">
        <f>SUMIF(DailyAccomplishmentReport!$B$12:$B$43,B18,DailyAccomplishmentReport!$D$12:$D$43)</f>
        <v>0</v>
      </c>
      <c r="AB18" s="94">
        <f t="shared" si="6"/>
        <v>0</v>
      </c>
      <c r="AC18" s="95">
        <f t="shared" si="7"/>
        <v>0</v>
      </c>
      <c r="AD18" s="51">
        <f t="shared" si="8"/>
        <v>0</v>
      </c>
      <c r="AE18" s="51" t="e">
        <f>VLOOKUP(Z18,Ref!$C$3:$D$14,2,)</f>
        <v>#N/A</v>
      </c>
      <c r="AF18" s="96" t="e">
        <f t="shared" si="9"/>
        <v>#N/A</v>
      </c>
    </row>
    <row r="19" spans="1:32" ht="14.25" customHeight="1">
      <c r="A19" s="5"/>
      <c r="B19" s="97">
        <f t="shared" si="10"/>
        <v>45984</v>
      </c>
      <c r="C19" s="89"/>
      <c r="D19" s="67"/>
      <c r="E19" s="98"/>
      <c r="F19" s="99"/>
      <c r="G19" s="34"/>
      <c r="H19" s="258" t="str">
        <f t="shared" si="0"/>
        <v/>
      </c>
      <c r="I19" s="359"/>
      <c r="J19" s="427"/>
      <c r="K19" s="92">
        <f>Billing!C29</f>
        <v>0</v>
      </c>
      <c r="L19" s="70">
        <f>Billing!D29</f>
        <v>0</v>
      </c>
      <c r="M19" s="5">
        <f>'Attendance Report - Manager'!G19</f>
        <v>0</v>
      </c>
      <c r="N19" s="5">
        <f>'Attendance Report - Manager'!H19</f>
        <v>0</v>
      </c>
      <c r="O19" s="5"/>
      <c r="P19" s="5">
        <f>SUMIF(DailyAccomplishmentReport!$B$12:$B$26,B19,DailyAccomplishmentReport!$AP$12:$AP$26)</f>
        <v>0</v>
      </c>
      <c r="Q19" s="70">
        <f t="shared" si="1"/>
        <v>0</v>
      </c>
      <c r="R19" s="70">
        <f t="shared" si="2"/>
        <v>0</v>
      </c>
      <c r="S19" s="93">
        <f t="shared" si="3"/>
        <v>0</v>
      </c>
      <c r="T19" s="70">
        <f t="shared" si="4"/>
        <v>-8.5</v>
      </c>
      <c r="U19" s="70">
        <f t="shared" si="5"/>
        <v>0</v>
      </c>
      <c r="V19" s="5"/>
      <c r="W19" s="5"/>
      <c r="X19" s="5"/>
      <c r="Y19" s="5"/>
      <c r="Z19" s="50" t="e">
        <f>VLOOKUP(B19,Ref!$F$3:$H$367,3,FALSE)</f>
        <v>#N/A</v>
      </c>
      <c r="AA19" s="51">
        <f>SUMIF(DailyAccomplishmentReport!$B$12:$B$43,B19,DailyAccomplishmentReport!$D$12:$D$43)</f>
        <v>0</v>
      </c>
      <c r="AB19" s="94">
        <f t="shared" si="6"/>
        <v>0</v>
      </c>
      <c r="AC19" s="95">
        <f t="shared" si="7"/>
        <v>0</v>
      </c>
      <c r="AD19" s="51">
        <f t="shared" si="8"/>
        <v>0</v>
      </c>
      <c r="AE19" s="51" t="e">
        <f>VLOOKUP(Z19,Ref!$C$3:$D$14,2,)</f>
        <v>#N/A</v>
      </c>
      <c r="AF19" s="96" t="e">
        <f t="shared" si="9"/>
        <v>#N/A</v>
      </c>
    </row>
    <row r="20" spans="1:32" ht="14.25" customHeight="1">
      <c r="A20" s="5"/>
      <c r="B20" s="97">
        <f t="shared" si="10"/>
        <v>45985</v>
      </c>
      <c r="C20" s="89">
        <v>0.34583333333333333</v>
      </c>
      <c r="D20" s="67">
        <v>0.7319444444444444</v>
      </c>
      <c r="E20" s="98"/>
      <c r="F20" s="99"/>
      <c r="G20" s="34">
        <f t="shared" ref="G20:G24" si="12">IF(AND(C20="",D20=""),"",IF(AND(C20&lt;=$D$5,D20&gt;=$E$5),8, IF(AND(Q20&lt;4,Q20&gt;0,R20&gt;=0),8-S20,IF(AND(Q20&lt;4,C20&gt;$D$5,U20&gt;5),T20-(S20+1), IF(AND(Q20&gt;3,D20&lt;$E$5),T20-S20,IF(AND(Q20&gt;3,D20&gt;=$E$5),9-S20,IF(AND(C20&gt;$D$5,U20&lt;=4),T20-S20,IF(AND(C20&gt;$D$5,U20&gt;4),U20-(S20+1),IF(AND(C20&lt;=$D$5,U20&gt;=5),T20-1,IF(AND(C20&lt;=$D$5,T20&lt;=4),T20,IF(AND(C20&lt;=$D$5,T20&lt;5),4,IF(U20&gt;5,U20-1,IF(U20&lt;=4,U20,0)))))))))))))</f>
        <v>8</v>
      </c>
      <c r="H20" s="258" t="str">
        <f t="shared" si="0"/>
        <v/>
      </c>
      <c r="I20" s="359" t="s">
        <v>246</v>
      </c>
      <c r="J20" s="427"/>
      <c r="K20" s="92">
        <f>Billing!C30</f>
        <v>0</v>
      </c>
      <c r="L20" s="70">
        <f>Billing!D30</f>
        <v>0</v>
      </c>
      <c r="M20" s="5">
        <f>'Attendance Report - Manager'!G20</f>
        <v>8</v>
      </c>
      <c r="N20" s="5">
        <f>'Attendance Report - Manager'!H20</f>
        <v>0</v>
      </c>
      <c r="O20" s="5"/>
      <c r="P20" s="5">
        <f>SUMIF(DailyAccomplishmentReport!$B$12:$B$26,B20,DailyAccomplishmentReport!$AP$12:$AP$26)</f>
        <v>0</v>
      </c>
      <c r="Q20" s="70">
        <f t="shared" si="1"/>
        <v>-0.20000000000000062</v>
      </c>
      <c r="R20" s="70">
        <f t="shared" si="2"/>
        <v>6.666666666666643E-2</v>
      </c>
      <c r="S20" s="93">
        <f t="shared" si="3"/>
        <v>-0.5</v>
      </c>
      <c r="T20" s="70">
        <f t="shared" si="4"/>
        <v>9.07</v>
      </c>
      <c r="U20" s="70">
        <f t="shared" si="5"/>
        <v>9.2666666666666657</v>
      </c>
      <c r="V20" s="5"/>
      <c r="W20" s="5"/>
      <c r="X20" s="5"/>
      <c r="Y20" s="5"/>
      <c r="Z20" s="50" t="e">
        <f>VLOOKUP(B20,Ref!$F$3:$H$367,3,FALSE)</f>
        <v>#N/A</v>
      </c>
      <c r="AA20" s="51">
        <f>SUMIF(DailyAccomplishmentReport!$B$12:$B$43,B20,DailyAccomplishmentReport!$D$12:$D$43)</f>
        <v>0</v>
      </c>
      <c r="AB20" s="94">
        <f t="shared" si="6"/>
        <v>0</v>
      </c>
      <c r="AC20" s="95">
        <f t="shared" si="7"/>
        <v>0</v>
      </c>
      <c r="AD20" s="51">
        <f t="shared" si="8"/>
        <v>0</v>
      </c>
      <c r="AE20" s="51" t="e">
        <f>VLOOKUP(Z20,Ref!$C$3:$D$14,2,)</f>
        <v>#N/A</v>
      </c>
      <c r="AF20" s="96" t="e">
        <f t="shared" si="9"/>
        <v>#N/A</v>
      </c>
    </row>
    <row r="21" spans="1:32" ht="14.25" customHeight="1">
      <c r="A21" s="5"/>
      <c r="B21" s="97">
        <f t="shared" si="10"/>
        <v>45986</v>
      </c>
      <c r="C21" s="89">
        <v>8.3000000000000007</v>
      </c>
      <c r="D21" s="67">
        <v>0.81874999999999998</v>
      </c>
      <c r="E21" s="98"/>
      <c r="F21" s="99"/>
      <c r="G21" s="34">
        <v>8</v>
      </c>
      <c r="H21" s="258" t="str">
        <f t="shared" si="0"/>
        <v/>
      </c>
      <c r="I21" s="357" t="s">
        <v>247</v>
      </c>
      <c r="J21" s="358"/>
      <c r="K21" s="92">
        <f>Billing!C31</f>
        <v>0</v>
      </c>
      <c r="L21" s="70">
        <f>Billing!D31</f>
        <v>0</v>
      </c>
      <c r="M21" s="5">
        <f>'Attendance Report - Manager'!G21</f>
        <v>0</v>
      </c>
      <c r="N21" s="5">
        <f>'Attendance Report - Manager'!H21</f>
        <v>0</v>
      </c>
      <c r="O21" s="5"/>
      <c r="P21" s="5">
        <f>SUMIF(DailyAccomplishmentReport!$B$12:$B$26,B21,DailyAccomplishmentReport!$AP$12:$AP$26)</f>
        <v>0</v>
      </c>
      <c r="Q21" s="70">
        <f t="shared" si="1"/>
        <v>190.70000000000002</v>
      </c>
      <c r="R21" s="70">
        <f t="shared" si="2"/>
        <v>2.1500000000000004</v>
      </c>
      <c r="S21" s="93">
        <f t="shared" si="3"/>
        <v>191</v>
      </c>
      <c r="T21" s="70">
        <f t="shared" si="4"/>
        <v>11.15</v>
      </c>
      <c r="U21" s="70">
        <f t="shared" si="5"/>
        <v>-179.55</v>
      </c>
      <c r="V21" s="5"/>
      <c r="W21" s="5"/>
      <c r="X21" s="5"/>
      <c r="Y21" s="5"/>
      <c r="Z21" s="50" t="e">
        <f>VLOOKUP(B21,Ref!$F$3:$H$367,3,FALSE)</f>
        <v>#N/A</v>
      </c>
      <c r="AA21" s="51">
        <f>SUMIF(DailyAccomplishmentReport!$B$12:$B$43,B21,DailyAccomplishmentReport!$D$12:$D$43)</f>
        <v>0</v>
      </c>
      <c r="AB21" s="94">
        <f t="shared" si="6"/>
        <v>0</v>
      </c>
      <c r="AC21" s="95">
        <f t="shared" si="7"/>
        <v>0</v>
      </c>
      <c r="AD21" s="51">
        <f t="shared" si="8"/>
        <v>0</v>
      </c>
      <c r="AE21" s="51" t="e">
        <f>VLOOKUP(Z21,Ref!$C$3:$D$14,2,)</f>
        <v>#N/A</v>
      </c>
      <c r="AF21" s="96" t="e">
        <f t="shared" si="9"/>
        <v>#N/A</v>
      </c>
    </row>
    <row r="22" spans="1:32" ht="14.25" customHeight="1">
      <c r="A22" s="5"/>
      <c r="B22" s="97">
        <f t="shared" si="10"/>
        <v>45987</v>
      </c>
      <c r="C22" s="89">
        <v>0.35416666666666669</v>
      </c>
      <c r="D22" s="67">
        <v>0.76111111111111107</v>
      </c>
      <c r="E22" s="98"/>
      <c r="F22" s="99"/>
      <c r="G22" s="34">
        <f t="shared" si="12"/>
        <v>8</v>
      </c>
      <c r="H22" s="258" t="str">
        <f t="shared" si="0"/>
        <v/>
      </c>
      <c r="I22" s="357" t="s">
        <v>247</v>
      </c>
      <c r="J22" s="358"/>
      <c r="K22" s="92">
        <f>Billing!C32</f>
        <v>0</v>
      </c>
      <c r="L22" s="70">
        <f>Billing!D32</f>
        <v>0</v>
      </c>
      <c r="M22" s="5">
        <f>'Attendance Report - Manager'!G22</f>
        <v>8</v>
      </c>
      <c r="N22" s="5">
        <f>'Attendance Report - Manager'!H22</f>
        <v>0</v>
      </c>
      <c r="O22" s="5"/>
      <c r="P22" s="5">
        <f>SUMIF(DailyAccomplishmentReport!$B$12:$B$26,B22,DailyAccomplishmentReport!$AP$12:$AP$26)</f>
        <v>0</v>
      </c>
      <c r="Q22" s="70">
        <f t="shared" si="1"/>
        <v>0</v>
      </c>
      <c r="R22" s="70">
        <f t="shared" si="2"/>
        <v>0.76666666666666661</v>
      </c>
      <c r="S22" s="93">
        <f t="shared" si="3"/>
        <v>0</v>
      </c>
      <c r="T22" s="70">
        <f t="shared" si="4"/>
        <v>9.77</v>
      </c>
      <c r="U22" s="70">
        <f t="shared" si="5"/>
        <v>9.7666666666666657</v>
      </c>
      <c r="V22" s="5"/>
      <c r="W22" s="5"/>
      <c r="X22" s="5"/>
      <c r="Y22" s="5"/>
      <c r="Z22" s="50" t="e">
        <f>VLOOKUP(B22,Ref!$F$3:$H$367,3,FALSE)</f>
        <v>#N/A</v>
      </c>
      <c r="AA22" s="51">
        <f>SUMIF(DailyAccomplishmentReport!$B$12:$B$43,B22,DailyAccomplishmentReport!$D$12:$D$43)</f>
        <v>0</v>
      </c>
      <c r="AB22" s="94">
        <f t="shared" si="6"/>
        <v>0</v>
      </c>
      <c r="AC22" s="95">
        <f t="shared" si="7"/>
        <v>0</v>
      </c>
      <c r="AD22" s="51">
        <f t="shared" si="8"/>
        <v>0</v>
      </c>
      <c r="AE22" s="51" t="e">
        <f>VLOOKUP(Z22,Ref!$C$3:$D$14,2,)</f>
        <v>#N/A</v>
      </c>
      <c r="AF22" s="96" t="e">
        <f t="shared" si="9"/>
        <v>#N/A</v>
      </c>
    </row>
    <row r="23" spans="1:32" ht="14.25" customHeight="1">
      <c r="A23" s="5"/>
      <c r="B23" s="97" t="s">
        <v>249</v>
      </c>
      <c r="C23" s="89">
        <v>9.35</v>
      </c>
      <c r="D23" s="67">
        <v>0.73888888888888893</v>
      </c>
      <c r="E23" s="98"/>
      <c r="F23" s="99"/>
      <c r="G23" s="34">
        <v>8</v>
      </c>
      <c r="H23" s="48" t="str">
        <f t="shared" si="0"/>
        <v/>
      </c>
      <c r="I23" s="357" t="s">
        <v>247</v>
      </c>
      <c r="J23" s="358"/>
      <c r="K23" s="92">
        <f>Billing!C33</f>
        <v>0</v>
      </c>
      <c r="L23" s="70">
        <f>Billing!D33</f>
        <v>0</v>
      </c>
      <c r="M23" s="5">
        <f>'Attendance Report - Manager'!G23</f>
        <v>0</v>
      </c>
      <c r="N23" s="5">
        <f>'Attendance Report - Manager'!H23</f>
        <v>0</v>
      </c>
      <c r="O23" s="5"/>
      <c r="P23" s="5">
        <f>SUMIF(DailyAccomplishmentReport!$B$12:$B$26,B23,DailyAccomplishmentReport!$AP$12:$AP$26)</f>
        <v>0</v>
      </c>
      <c r="Q23" s="70">
        <f t="shared" si="1"/>
        <v>215.9</v>
      </c>
      <c r="R23" s="70">
        <f t="shared" si="2"/>
        <v>0.23333333333333517</v>
      </c>
      <c r="S23" s="93">
        <f t="shared" si="3"/>
        <v>216</v>
      </c>
      <c r="T23" s="70">
        <f t="shared" si="4"/>
        <v>9.23</v>
      </c>
      <c r="U23" s="70">
        <f t="shared" si="5"/>
        <v>-206.66666666666666</v>
      </c>
      <c r="V23" s="5"/>
      <c r="W23" s="5"/>
      <c r="X23" s="5"/>
      <c r="Y23" s="5"/>
      <c r="Z23" s="50" t="e">
        <f>VLOOKUP(B23,Ref!$F$3:$H$367,3,FALSE)</f>
        <v>#N/A</v>
      </c>
      <c r="AA23" s="51">
        <f>SUMIF(DailyAccomplishmentReport!$B$12:$B$43,B23,DailyAccomplishmentReport!$D$12:$D$43)</f>
        <v>0</v>
      </c>
      <c r="AB23" s="94">
        <f t="shared" si="6"/>
        <v>0</v>
      </c>
      <c r="AC23" s="95">
        <f t="shared" si="7"/>
        <v>0</v>
      </c>
      <c r="AD23" s="51">
        <f t="shared" si="8"/>
        <v>0</v>
      </c>
      <c r="AE23" s="51" t="e">
        <f>VLOOKUP(Z23,Ref!$C$3:$D$14,2,)</f>
        <v>#N/A</v>
      </c>
      <c r="AF23" s="96" t="e">
        <f t="shared" si="9"/>
        <v>#N/A</v>
      </c>
    </row>
    <row r="24" spans="1:32" ht="14.25" customHeight="1">
      <c r="A24" s="5"/>
      <c r="B24" s="97" t="s">
        <v>250</v>
      </c>
      <c r="C24" s="89">
        <v>0.39583333333333331</v>
      </c>
      <c r="D24" s="67">
        <v>0.82847222222222217</v>
      </c>
      <c r="E24" s="98"/>
      <c r="F24" s="99"/>
      <c r="G24" s="34">
        <v>7</v>
      </c>
      <c r="H24" s="48"/>
      <c r="I24" s="359" t="s">
        <v>248</v>
      </c>
      <c r="J24" s="427"/>
      <c r="K24" s="92">
        <f>Billing!C34</f>
        <v>0</v>
      </c>
      <c r="L24" s="70">
        <f>Billing!D34</f>
        <v>0</v>
      </c>
      <c r="M24" s="100">
        <f>'Attendance Report - Manager'!G24</f>
        <v>8</v>
      </c>
      <c r="N24" s="5">
        <f>'Attendance Report - Manager'!H24</f>
        <v>0</v>
      </c>
      <c r="O24" s="5"/>
      <c r="P24" s="5">
        <f>SUMIF(DailyAccomplishmentReport!$B$12:$B$26,B24,DailyAccomplishmentReport!$AP$12:$AP$26)</f>
        <v>0</v>
      </c>
      <c r="Q24" s="70">
        <f t="shared" si="1"/>
        <v>0.99999999999999911</v>
      </c>
      <c r="R24" s="70">
        <f t="shared" si="2"/>
        <v>2.3833333333333329</v>
      </c>
      <c r="S24" s="93">
        <f t="shared" si="3"/>
        <v>1</v>
      </c>
      <c r="T24" s="70">
        <f t="shared" si="4"/>
        <v>11.38</v>
      </c>
      <c r="U24" s="70">
        <f t="shared" si="5"/>
        <v>10.383333333333333</v>
      </c>
      <c r="V24" s="5"/>
      <c r="W24" s="5"/>
      <c r="X24" s="5"/>
      <c r="Y24" s="5"/>
      <c r="Z24" s="50" t="e">
        <f>VLOOKUP(B24,Ref!$F$3:$H$367,3,FALSE)</f>
        <v>#N/A</v>
      </c>
      <c r="AA24" s="51">
        <f>SUMIF(DailyAccomplishmentReport!$B$12:$B$43,B24,DailyAccomplishmentReport!$D$12:$D$43)</f>
        <v>0</v>
      </c>
      <c r="AB24" s="94">
        <f t="shared" si="6"/>
        <v>0</v>
      </c>
      <c r="AC24" s="95">
        <f t="shared" si="7"/>
        <v>0</v>
      </c>
      <c r="AD24" s="51">
        <f t="shared" si="8"/>
        <v>0</v>
      </c>
      <c r="AE24" s="51" t="e">
        <f>VLOOKUP(Z24,Ref!$C$3:$D$14,2,)</f>
        <v>#N/A</v>
      </c>
      <c r="AF24" s="96" t="e">
        <f t="shared" si="9"/>
        <v>#N/A</v>
      </c>
    </row>
    <row r="25" spans="1:32" ht="14.25" customHeight="1">
      <c r="A25" s="5"/>
      <c r="B25" s="97" t="s">
        <v>251</v>
      </c>
      <c r="C25" s="89"/>
      <c r="D25" s="67"/>
      <c r="E25" s="98"/>
      <c r="F25" s="89"/>
      <c r="G25" s="34"/>
      <c r="H25" s="48" t="str">
        <f t="shared" si="0"/>
        <v/>
      </c>
      <c r="I25" s="357"/>
      <c r="J25" s="358"/>
      <c r="K25" s="92">
        <f>Billing!C35</f>
        <v>0</v>
      </c>
      <c r="L25" s="70">
        <f>Billing!D35</f>
        <v>0</v>
      </c>
      <c r="M25" s="100">
        <f>'Attendance Report - Manager'!G25</f>
        <v>0</v>
      </c>
      <c r="N25" s="5">
        <f>'Attendance Report - Manager'!H25</f>
        <v>0</v>
      </c>
      <c r="O25" s="5"/>
      <c r="P25" s="5">
        <f>SUMIF(DailyAccomplishmentReport!$B$12:$B$26,B25,DailyAccomplishmentReport!$AP$12:$AP$26)</f>
        <v>0</v>
      </c>
      <c r="Q25" s="70">
        <f t="shared" si="1"/>
        <v>0</v>
      </c>
      <c r="R25" s="70">
        <f t="shared" si="2"/>
        <v>0</v>
      </c>
      <c r="S25" s="93">
        <f t="shared" si="3"/>
        <v>0</v>
      </c>
      <c r="T25" s="70">
        <f t="shared" si="4"/>
        <v>-8.5</v>
      </c>
      <c r="U25" s="70">
        <f t="shared" si="5"/>
        <v>0</v>
      </c>
      <c r="V25" s="5"/>
      <c r="W25" s="5"/>
      <c r="X25" s="5"/>
      <c r="Y25" s="5"/>
      <c r="Z25" s="50" t="e">
        <f>VLOOKUP(B25,Ref!$F$3:$H$367,3,FALSE)</f>
        <v>#N/A</v>
      </c>
      <c r="AA25" s="51">
        <f>SUMIF(DailyAccomplishmentReport!$B$12:$B$43,B25,DailyAccomplishmentReport!$D$12:$D$43)</f>
        <v>0</v>
      </c>
      <c r="AB25" s="94">
        <f t="shared" si="6"/>
        <v>0</v>
      </c>
      <c r="AC25" s="95">
        <f t="shared" si="7"/>
        <v>0</v>
      </c>
      <c r="AD25" s="51">
        <f t="shared" si="8"/>
        <v>0</v>
      </c>
      <c r="AE25" s="51" t="e">
        <f>VLOOKUP(Z25,Ref!$C$3:$D$14,2,)</f>
        <v>#N/A</v>
      </c>
      <c r="AF25" s="96" t="e">
        <f t="shared" si="9"/>
        <v>#N/A</v>
      </c>
    </row>
    <row r="26" spans="1:32" ht="14.25" customHeight="1">
      <c r="A26" s="5"/>
      <c r="B26" s="97" t="s">
        <v>243</v>
      </c>
      <c r="C26" s="89"/>
      <c r="D26" s="67"/>
      <c r="E26" s="98"/>
      <c r="F26" s="89"/>
      <c r="G26" s="34"/>
      <c r="H26" s="48" t="str">
        <f t="shared" si="0"/>
        <v/>
      </c>
      <c r="I26" s="357"/>
      <c r="J26" s="358"/>
      <c r="K26" s="92">
        <f>Billing!C36</f>
        <v>0</v>
      </c>
      <c r="L26" s="70">
        <f>Billing!D36</f>
        <v>0</v>
      </c>
      <c r="M26" s="100">
        <f>'Attendance Report - Manager'!G26</f>
        <v>0</v>
      </c>
      <c r="N26" s="5">
        <f>'Attendance Report - Manager'!H26</f>
        <v>0</v>
      </c>
      <c r="O26" s="5"/>
      <c r="P26" s="5">
        <f>SUMIF(DailyAccomplishmentReport!$B$12:$B$26,B26,DailyAccomplishmentReport!$AP$12:$AP$26)</f>
        <v>0</v>
      </c>
      <c r="Q26" s="70">
        <f t="shared" si="1"/>
        <v>0</v>
      </c>
      <c r="R26" s="70">
        <f t="shared" si="2"/>
        <v>0</v>
      </c>
      <c r="S26" s="93">
        <f t="shared" si="3"/>
        <v>0</v>
      </c>
      <c r="T26" s="70">
        <f t="shared" si="4"/>
        <v>-8.5</v>
      </c>
      <c r="U26" s="70">
        <f t="shared" si="5"/>
        <v>0</v>
      </c>
      <c r="V26" s="5"/>
      <c r="W26" s="5"/>
      <c r="X26" s="5"/>
      <c r="Y26" s="5"/>
      <c r="Z26" s="50" t="e">
        <f>VLOOKUP(B26,Ref!$F$3:$H$367,3,FALSE)</f>
        <v>#N/A</v>
      </c>
      <c r="AA26" s="51">
        <f>SUMIF(DailyAccomplishmentReport!$B$12:$B$43,B26,DailyAccomplishmentReport!$D$12:$D$43)</f>
        <v>0</v>
      </c>
      <c r="AB26" s="94">
        <f t="shared" si="6"/>
        <v>0</v>
      </c>
      <c r="AC26" s="95">
        <f t="shared" si="7"/>
        <v>0</v>
      </c>
      <c r="AD26" s="51">
        <f t="shared" si="8"/>
        <v>0</v>
      </c>
      <c r="AE26" s="51" t="e">
        <f>VLOOKUP(Z26,Ref!$C$3:$D$14,2,)</f>
        <v>#N/A</v>
      </c>
      <c r="AF26" s="96" t="e">
        <f t="shared" si="9"/>
        <v>#N/A</v>
      </c>
    </row>
    <row r="27" spans="1:32" ht="14.25" customHeight="1">
      <c r="A27" s="5"/>
      <c r="B27" s="101"/>
      <c r="C27" s="60"/>
      <c r="D27" s="59"/>
      <c r="E27" s="102"/>
      <c r="F27" s="103"/>
      <c r="G27" s="104" t="str">
        <f>IF(AND(C27="",D27=""),"",IF(AND(C27&lt;=$D$5,D27&gt;=$E$5),8, IF(AND(Q27&lt;4,Q27&gt;0,R27&gt;=0),8-S27,IF(AND(Q27&lt;4,C27&gt;$D$5,U27&gt;5),T27-(S27+1), IF(AND(Q27&gt;3,D27&lt;$E$5),T27-S27,IF(AND(Q27&gt;3,D27&gt;=$E$5),9-S27,IF(AND(C27&gt;$D$5,U27&lt;=4),T27-S27,IF(AND(C27&gt;$D$5,U27&gt;4),U27-(S27+1),IF(AND(C27&lt;=$D$5,U27&gt;=5),T27-1,IF(AND(C27&lt;=$D$5,T27&lt;=4),T27,IF(AND(C27&lt;=$D$5,T27&lt;5),4,IF(U27&gt;5,U27-1,IF(U27&lt;=4,U27,0)))))))))))))</f>
        <v/>
      </c>
      <c r="H27" s="48" t="str">
        <f>IF((AC27+AF27)=0,"",ROUND(AC27+AF27,2))</f>
        <v/>
      </c>
      <c r="I27" s="354"/>
      <c r="J27" s="35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0"/>
      <c r="AA27" s="57"/>
      <c r="AB27" s="57"/>
      <c r="AC27" s="105"/>
      <c r="AD27" s="57"/>
      <c r="AE27" s="57"/>
      <c r="AF27" s="106"/>
    </row>
    <row r="28" spans="1:32" ht="14.25" customHeight="1">
      <c r="A28" s="5"/>
      <c r="B28" s="5"/>
      <c r="C28" s="107" t="s">
        <v>69</v>
      </c>
      <c r="D28" s="108"/>
      <c r="E28" s="109"/>
      <c r="F28" s="110"/>
      <c r="G28" s="111">
        <f>SUM(G12:G27)</f>
        <v>79</v>
      </c>
      <c r="H28" s="111">
        <f>SUM(H12:H27)</f>
        <v>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4.25" customHeight="1">
      <c r="A30" s="5"/>
      <c r="B30" s="112" t="s">
        <v>117</v>
      </c>
      <c r="C30" s="5"/>
      <c r="D30" s="5"/>
      <c r="E30" s="5"/>
      <c r="F30" s="5"/>
      <c r="G30" s="5"/>
      <c r="H30" s="112" t="s">
        <v>118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4.25" customHeight="1">
      <c r="A32" s="5"/>
      <c r="B32" s="288" t="str">
        <f>IF(DailyAccomplishmentReport!D3&lt;&gt;"",DailyAccomplishmentReport!D3,"")</f>
        <v>MIKAELLA ANDREA DEVELOS</v>
      </c>
      <c r="C32" s="289"/>
      <c r="D32" s="289"/>
      <c r="E32" s="289"/>
      <c r="F32" s="5"/>
      <c r="G32" s="5"/>
      <c r="H32" s="360" t="s">
        <v>119</v>
      </c>
      <c r="I32" s="289"/>
      <c r="J32" s="113" t="s">
        <v>120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14.25" customHeight="1">
      <c r="A33" s="5"/>
      <c r="B33" s="114" t="s">
        <v>121</v>
      </c>
      <c r="C33" s="5"/>
      <c r="D33" s="5"/>
      <c r="E33" s="5"/>
      <c r="F33" s="5"/>
      <c r="G33" s="5"/>
      <c r="H33" s="114" t="s">
        <v>122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4.25" customHeight="1">
      <c r="A34" s="5"/>
      <c r="B34" s="112" t="s">
        <v>123</v>
      </c>
      <c r="C34" s="5"/>
      <c r="D34" s="5"/>
      <c r="E34" s="5"/>
      <c r="F34" s="5"/>
      <c r="G34" s="5"/>
      <c r="H34" s="112" t="s">
        <v>124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4.25" customHeight="1">
      <c r="A35" s="5"/>
      <c r="B35" s="5"/>
      <c r="C35" s="5"/>
      <c r="D35" s="5"/>
      <c r="E35" s="5"/>
      <c r="F35" s="5"/>
      <c r="G35" s="5"/>
      <c r="H35" s="115" t="s">
        <v>125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29">
    <mergeCell ref="C10:D10"/>
    <mergeCell ref="E10:F10"/>
    <mergeCell ref="B1:J3"/>
    <mergeCell ref="B4:C4"/>
    <mergeCell ref="D4:F4"/>
    <mergeCell ref="B5:C5"/>
    <mergeCell ref="B6:C6"/>
    <mergeCell ref="B7:C8"/>
    <mergeCell ref="B10:B11"/>
    <mergeCell ref="G10:H10"/>
    <mergeCell ref="I10:J11"/>
    <mergeCell ref="I12:J12"/>
    <mergeCell ref="I13:J13"/>
    <mergeCell ref="I14:J14"/>
    <mergeCell ref="I15:J15"/>
    <mergeCell ref="I16:J16"/>
    <mergeCell ref="I24:J24"/>
    <mergeCell ref="I25:J25"/>
    <mergeCell ref="I26:J26"/>
    <mergeCell ref="I27:J27"/>
    <mergeCell ref="B32:E32"/>
    <mergeCell ref="H32:I32"/>
    <mergeCell ref="I22:J22"/>
    <mergeCell ref="I23:J23"/>
    <mergeCell ref="I17:J17"/>
    <mergeCell ref="I18:J18"/>
    <mergeCell ref="I19:J19"/>
    <mergeCell ref="I20:J20"/>
    <mergeCell ref="I21:J21"/>
  </mergeCells>
  <conditionalFormatting sqref="B12:B26">
    <cfRule type="expression" dxfId="18" priority="1" stopIfTrue="1">
      <formula>AND(Z12=97)</formula>
    </cfRule>
    <cfRule type="expression" dxfId="17" priority="2" stopIfTrue="1">
      <formula>AND(Z12=7)</formula>
    </cfRule>
    <cfRule type="expression" dxfId="16" priority="3" stopIfTrue="1">
      <formula>AND(Z12=1)</formula>
    </cfRule>
    <cfRule type="expression" dxfId="15" priority="4" stopIfTrue="1">
      <formula>AND(Z12=991)</formula>
    </cfRule>
    <cfRule type="expression" dxfId="14" priority="5" stopIfTrue="1">
      <formula>AND(Z12=91)</formula>
    </cfRule>
    <cfRule type="expression" dxfId="13" priority="6" stopIfTrue="1">
      <formula>AND(Z12=997)</formula>
    </cfRule>
    <cfRule type="expression" dxfId="12" priority="7" stopIfTrue="1">
      <formula>AND(Z12=881)</formula>
    </cfRule>
    <cfRule type="expression" dxfId="11" priority="8" stopIfTrue="1">
      <formula>AND(Z12=810)</formula>
    </cfRule>
    <cfRule type="expression" dxfId="10" priority="9" stopIfTrue="1">
      <formula>AND(Z12=887)</formula>
    </cfRule>
    <cfRule type="expression" dxfId="9" priority="10" stopIfTrue="1">
      <formula>AND(Z12=87)</formula>
    </cfRule>
  </conditionalFormatting>
  <conditionalFormatting sqref="H12:H26">
    <cfRule type="expression" dxfId="8" priority="11">
      <formula>AND(H12&lt;AA12)</formula>
    </cfRule>
  </conditionalFormatting>
  <conditionalFormatting sqref="H27">
    <cfRule type="cellIs" dxfId="7" priority="32" stopIfTrue="1" operator="lessThan">
      <formula>Q24</formula>
    </cfRule>
  </conditionalFormatting>
  <dataValidations count="3">
    <dataValidation type="custom" allowBlank="1" showInputMessage="1" showErrorMessage="1" prompt="sa - sas" sqref="P10">
      <formula1>ISBLANK(P10)</formula1>
    </dataValidation>
    <dataValidation type="custom" allowBlank="1" showInputMessage="1" showErrorMessage="1" prompt="Invalid Time - Please enter valid time!" sqref="E5">
      <formula1>AND(GTE(E5,MIN((0.666666666666667),(0.833333333333333))),LTE(E5,MAX((0.666666666666667),(0.833333333333333))))</formula1>
    </dataValidation>
    <dataValidation type="custom" allowBlank="1" showInputMessage="1" showErrorMessage="1" prompt="Invalid Time - Please enter valid time!" sqref="D5">
      <formula1>AND(GTE(D5,MIN((0.25),(0.416666666666667))),LTE(D5,MAX((0.25),(0.416666666666667))))</formula1>
    </dataValidation>
  </dataValidations>
  <printOptions horizontalCentered="1" verticalCentered="1"/>
  <pageMargins left="0.3" right="0.3" top="0.3" bottom="0.3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8" width="9.140625" customWidth="1"/>
    <col min="9" max="9" width="74.140625" customWidth="1"/>
    <col min="10" max="26" width="9.140625" customWidth="1"/>
  </cols>
  <sheetData>
    <row r="1" spans="1:26" ht="14.25" customHeight="1">
      <c r="A1" s="5"/>
      <c r="B1" s="389" t="s">
        <v>126</v>
      </c>
      <c r="C1" s="346"/>
      <c r="D1" s="346"/>
      <c r="E1" s="346"/>
      <c r="F1" s="346"/>
      <c r="G1" s="346"/>
      <c r="H1" s="346"/>
      <c r="I1" s="38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/>
      <c r="B2" s="364"/>
      <c r="C2" s="289"/>
      <c r="D2" s="289"/>
      <c r="E2" s="289"/>
      <c r="F2" s="289"/>
      <c r="G2" s="289"/>
      <c r="H2" s="289"/>
      <c r="I2" s="38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/>
      <c r="B3" s="390"/>
      <c r="C3" s="391"/>
      <c r="D3" s="391"/>
      <c r="E3" s="391"/>
      <c r="F3" s="391"/>
      <c r="G3" s="391"/>
      <c r="H3" s="391"/>
      <c r="I3" s="39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/>
      <c r="B4" s="393" t="s">
        <v>33</v>
      </c>
      <c r="C4" s="394"/>
      <c r="D4" s="126" t="str">
        <f>DailyAccomplishmentReport!D3:E3</f>
        <v>MIKAELLA ANDREA DEVELOS</v>
      </c>
      <c r="E4" s="12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/>
      <c r="B5" s="340" t="s">
        <v>127</v>
      </c>
      <c r="C5" s="341"/>
      <c r="D5" s="128">
        <f>'Attendance Report_Second'!D5</f>
        <v>0.35416666666666669</v>
      </c>
      <c r="E5" s="129">
        <f>'Attendance Report_Second'!E5</f>
        <v>0.72916666666666663</v>
      </c>
      <c r="F5" s="73"/>
      <c r="G5" s="73"/>
      <c r="H5" s="7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/>
      <c r="B6" s="340" t="s">
        <v>128</v>
      </c>
      <c r="C6" s="341"/>
      <c r="D6" s="71" t="s">
        <v>104</v>
      </c>
      <c r="E6" s="72"/>
      <c r="F6" s="73"/>
      <c r="G6" s="73"/>
      <c r="H6" s="7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/>
      <c r="B7" s="345" t="s">
        <v>39</v>
      </c>
      <c r="C7" s="346"/>
      <c r="D7" s="19" t="s">
        <v>40</v>
      </c>
      <c r="E7" s="20" t="s">
        <v>41</v>
      </c>
      <c r="F7" s="73"/>
      <c r="G7" s="73"/>
      <c r="H7" s="73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/>
      <c r="B8" s="347"/>
      <c r="C8" s="348"/>
      <c r="D8" s="23" t="str">
        <f>DailyAccomplishmentReport!D8</f>
        <v>11/16/25</v>
      </c>
      <c r="E8" s="74" t="str">
        <f>DailyAccomplishmentReport!E8</f>
        <v>11/30/25</v>
      </c>
      <c r="F8" s="73"/>
      <c r="G8" s="73"/>
      <c r="H8" s="73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371" t="s">
        <v>42</v>
      </c>
      <c r="C10" s="378" t="s">
        <v>106</v>
      </c>
      <c r="D10" s="379"/>
      <c r="E10" s="361" t="s">
        <v>107</v>
      </c>
      <c r="F10" s="380"/>
      <c r="G10" s="378" t="s">
        <v>108</v>
      </c>
      <c r="H10" s="379"/>
      <c r="I10" s="371" t="s">
        <v>109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382"/>
      <c r="C11" s="78" t="s">
        <v>110</v>
      </c>
      <c r="D11" s="79" t="s">
        <v>111</v>
      </c>
      <c r="E11" s="80" t="s">
        <v>110</v>
      </c>
      <c r="F11" s="81" t="s">
        <v>111</v>
      </c>
      <c r="G11" s="78" t="s">
        <v>63</v>
      </c>
      <c r="H11" s="79" t="s">
        <v>112</v>
      </c>
      <c r="I11" s="38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130" t="str">
        <f>D8</f>
        <v>11/16/25</v>
      </c>
      <c r="C12" s="131">
        <f>'Attendance Report_Second'!C12</f>
        <v>0</v>
      </c>
      <c r="D12" s="132">
        <f>'Attendance Report_Second'!D12</f>
        <v>0</v>
      </c>
      <c r="E12" s="90">
        <f>'Attendance Report_Second'!E12</f>
        <v>0</v>
      </c>
      <c r="F12" s="91">
        <f>'Attendance Report_Second'!F12</f>
        <v>0</v>
      </c>
      <c r="G12" s="133">
        <f t="shared" ref="G12:G42" si="0">IF(((D12-C12)*24-1)&lt;0,0,IF(((D12-C12)*24)&gt;9,8,ROUND(((D12-C12)*24-1),2)))</f>
        <v>0</v>
      </c>
      <c r="H12" s="134">
        <f t="shared" ref="H12:H42" si="1">IF(((F12-E12) *24 )&gt;0,ROUND(((F12-E12) *24 ),2),0)</f>
        <v>0</v>
      </c>
      <c r="I12" s="135"/>
      <c r="J12" s="5"/>
      <c r="K12" s="92">
        <f>Billing!C22</f>
        <v>0</v>
      </c>
      <c r="L12" s="70">
        <f>Billing!D22</f>
        <v>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97" t="e">
        <f t="shared" ref="B13:B42" si="2">B12+1</f>
        <v>#VALUE!</v>
      </c>
      <c r="C13" s="89">
        <f>'Attendance Report_Second'!C13</f>
        <v>0.35416666666666669</v>
      </c>
      <c r="D13" s="136">
        <f>'Attendance Report_Second'!D13</f>
        <v>0.7680555555555556</v>
      </c>
      <c r="E13" s="98">
        <f>'Attendance Report_Second'!E13</f>
        <v>0</v>
      </c>
      <c r="F13" s="99">
        <f>'Attendance Report_Second'!F13</f>
        <v>0</v>
      </c>
      <c r="G13" s="137">
        <f t="shared" si="0"/>
        <v>8</v>
      </c>
      <c r="H13" s="138">
        <f t="shared" si="1"/>
        <v>0</v>
      </c>
      <c r="I13" s="139"/>
      <c r="J13" s="5"/>
      <c r="K13" s="92">
        <f>Billing!C23</f>
        <v>0</v>
      </c>
      <c r="L13" s="70">
        <f>Billing!D23</f>
        <v>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97" t="e">
        <f t="shared" si="2"/>
        <v>#VALUE!</v>
      </c>
      <c r="C14" s="89">
        <f>'Attendance Report_Second'!C14</f>
        <v>0.34236111111111112</v>
      </c>
      <c r="D14" s="136">
        <f>'Attendance Report_Second'!D14</f>
        <v>0.77361111111111114</v>
      </c>
      <c r="E14" s="98">
        <f>'Attendance Report_Second'!E14</f>
        <v>0</v>
      </c>
      <c r="F14" s="99">
        <f>'Attendance Report_Second'!F14</f>
        <v>0</v>
      </c>
      <c r="G14" s="137">
        <f t="shared" si="0"/>
        <v>8</v>
      </c>
      <c r="H14" s="138">
        <f t="shared" si="1"/>
        <v>0</v>
      </c>
      <c r="I14" s="139"/>
      <c r="J14" s="5"/>
      <c r="K14" s="92">
        <f>Billing!C24</f>
        <v>0</v>
      </c>
      <c r="L14" s="70">
        <f>Billing!D24</f>
        <v>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/>
      <c r="B15" s="97" t="e">
        <f t="shared" si="2"/>
        <v>#VALUE!</v>
      </c>
      <c r="C15" s="89">
        <f>'Attendance Report_Second'!C15</f>
        <v>0.32708333333333334</v>
      </c>
      <c r="D15" s="136">
        <f>'Attendance Report_Second'!D15</f>
        <v>0.76249999999999996</v>
      </c>
      <c r="E15" s="98">
        <f>'Attendance Report_Second'!E15</f>
        <v>0</v>
      </c>
      <c r="F15" s="99">
        <f>'Attendance Report_Second'!F15</f>
        <v>0</v>
      </c>
      <c r="G15" s="137">
        <f t="shared" si="0"/>
        <v>8</v>
      </c>
      <c r="H15" s="138">
        <f t="shared" si="1"/>
        <v>0</v>
      </c>
      <c r="I15" s="139"/>
      <c r="J15" s="5"/>
      <c r="K15" s="92">
        <f>Billing!C25</f>
        <v>0</v>
      </c>
      <c r="L15" s="70">
        <f>Billing!D25</f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/>
      <c r="B16" s="97" t="e">
        <f t="shared" si="2"/>
        <v>#VALUE!</v>
      </c>
      <c r="C16" s="89">
        <f>'Attendance Report_Second'!C16</f>
        <v>0.35416666666666669</v>
      </c>
      <c r="D16" s="136">
        <f>'Attendance Report_Second'!D16</f>
        <v>0.79374999999999996</v>
      </c>
      <c r="E16" s="98">
        <f>'Attendance Report_Second'!E16</f>
        <v>0</v>
      </c>
      <c r="F16" s="99">
        <f>'Attendance Report_Second'!F16</f>
        <v>0</v>
      </c>
      <c r="G16" s="137">
        <f t="shared" si="0"/>
        <v>8</v>
      </c>
      <c r="H16" s="138">
        <f t="shared" si="1"/>
        <v>0</v>
      </c>
      <c r="I16" s="139"/>
      <c r="J16" s="5"/>
      <c r="K16" s="92">
        <f>Billing!C26</f>
        <v>0</v>
      </c>
      <c r="L16" s="70">
        <f>Billing!D26</f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/>
      <c r="B17" s="97" t="e">
        <f t="shared" si="2"/>
        <v>#VALUE!</v>
      </c>
      <c r="C17" s="89">
        <f>'Attendance Report_Second'!C17</f>
        <v>0.32083333333333336</v>
      </c>
      <c r="D17" s="136">
        <f>'Attendance Report_Second'!D17</f>
        <v>0.74513888888888891</v>
      </c>
      <c r="E17" s="98">
        <f>'Attendance Report_Second'!E17</f>
        <v>0</v>
      </c>
      <c r="F17" s="99">
        <f>'Attendance Report_Second'!F17</f>
        <v>0</v>
      </c>
      <c r="G17" s="137">
        <f t="shared" si="0"/>
        <v>8</v>
      </c>
      <c r="H17" s="138">
        <f t="shared" si="1"/>
        <v>0</v>
      </c>
      <c r="I17" s="139"/>
      <c r="J17" s="5"/>
      <c r="K17" s="92">
        <f>Billing!C27</f>
        <v>0</v>
      </c>
      <c r="L17" s="70">
        <f>Billing!D27</f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97" t="e">
        <f t="shared" si="2"/>
        <v>#VALUE!</v>
      </c>
      <c r="C18" s="89">
        <f>'Attendance Report_Second'!C18</f>
        <v>0</v>
      </c>
      <c r="D18" s="136">
        <f>'Attendance Report_Second'!D18</f>
        <v>0</v>
      </c>
      <c r="E18" s="98">
        <f>'Attendance Report_Second'!E18</f>
        <v>0</v>
      </c>
      <c r="F18" s="99">
        <f>'Attendance Report_Second'!F18</f>
        <v>0</v>
      </c>
      <c r="G18" s="137">
        <f t="shared" si="0"/>
        <v>0</v>
      </c>
      <c r="H18" s="138">
        <f t="shared" si="1"/>
        <v>0</v>
      </c>
      <c r="I18" s="139"/>
      <c r="J18" s="5"/>
      <c r="K18" s="92">
        <f>Billing!C28</f>
        <v>0</v>
      </c>
      <c r="L18" s="70">
        <f>Billing!D28</f>
        <v>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/>
      <c r="B19" s="97" t="e">
        <f t="shared" si="2"/>
        <v>#VALUE!</v>
      </c>
      <c r="C19" s="89">
        <f>'Attendance Report_Second'!C19</f>
        <v>0</v>
      </c>
      <c r="D19" s="136">
        <f>'Attendance Report_Second'!D19</f>
        <v>0</v>
      </c>
      <c r="E19" s="98">
        <f>'Attendance Report_Second'!E19</f>
        <v>0</v>
      </c>
      <c r="F19" s="99">
        <f>'Attendance Report_Second'!F19</f>
        <v>0</v>
      </c>
      <c r="G19" s="137">
        <f t="shared" si="0"/>
        <v>0</v>
      </c>
      <c r="H19" s="138">
        <f t="shared" si="1"/>
        <v>0</v>
      </c>
      <c r="I19" s="139"/>
      <c r="J19" s="5"/>
      <c r="K19" s="92">
        <f>Billing!C29</f>
        <v>0</v>
      </c>
      <c r="L19" s="70">
        <f>Billing!D29</f>
        <v>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97" t="e">
        <f t="shared" si="2"/>
        <v>#VALUE!</v>
      </c>
      <c r="C20" s="89">
        <f>'Attendance Report_Second'!C20</f>
        <v>0.34583333333333333</v>
      </c>
      <c r="D20" s="136">
        <f>'Attendance Report_Second'!D20</f>
        <v>0.7319444444444444</v>
      </c>
      <c r="E20" s="98">
        <f>'Attendance Report_Second'!E20</f>
        <v>0</v>
      </c>
      <c r="F20" s="99">
        <f>'Attendance Report_Second'!F20</f>
        <v>0</v>
      </c>
      <c r="G20" s="137">
        <f t="shared" si="0"/>
        <v>8</v>
      </c>
      <c r="H20" s="138">
        <f t="shared" si="1"/>
        <v>0</v>
      </c>
      <c r="I20" s="139"/>
      <c r="J20" s="5"/>
      <c r="K20" s="92">
        <f>Billing!C30</f>
        <v>0</v>
      </c>
      <c r="L20" s="70">
        <f>Billing!D30</f>
        <v>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97" t="e">
        <f t="shared" si="2"/>
        <v>#VALUE!</v>
      </c>
      <c r="C21" s="89">
        <f>'Attendance Report_Second'!C21</f>
        <v>8.3000000000000007</v>
      </c>
      <c r="D21" s="136">
        <f>'Attendance Report_Second'!D21</f>
        <v>0.81874999999999998</v>
      </c>
      <c r="E21" s="98">
        <f>'Attendance Report_Second'!E21</f>
        <v>0</v>
      </c>
      <c r="F21" s="99">
        <f>'Attendance Report_Second'!F21</f>
        <v>0</v>
      </c>
      <c r="G21" s="137">
        <f t="shared" si="0"/>
        <v>0</v>
      </c>
      <c r="H21" s="138">
        <f t="shared" si="1"/>
        <v>0</v>
      </c>
      <c r="I21" s="139"/>
      <c r="J21" s="5"/>
      <c r="K21" s="92">
        <f>Billing!C31</f>
        <v>0</v>
      </c>
      <c r="L21" s="70">
        <f>Billing!D31</f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97" t="e">
        <f t="shared" si="2"/>
        <v>#VALUE!</v>
      </c>
      <c r="C22" s="89">
        <f>'Attendance Report_Second'!C22</f>
        <v>0.35416666666666669</v>
      </c>
      <c r="D22" s="136">
        <f>'Attendance Report_Second'!D22</f>
        <v>0.76111111111111107</v>
      </c>
      <c r="E22" s="98">
        <f>'Attendance Report_Second'!E22</f>
        <v>0</v>
      </c>
      <c r="F22" s="99">
        <f>'Attendance Report_Second'!F22</f>
        <v>0</v>
      </c>
      <c r="G22" s="137">
        <f t="shared" si="0"/>
        <v>8</v>
      </c>
      <c r="H22" s="138">
        <f t="shared" si="1"/>
        <v>0</v>
      </c>
      <c r="I22" s="139"/>
      <c r="J22" s="5"/>
      <c r="K22" s="92">
        <f>Billing!C32</f>
        <v>0</v>
      </c>
      <c r="L22" s="70">
        <f>Billing!D32</f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97" t="e">
        <f t="shared" si="2"/>
        <v>#VALUE!</v>
      </c>
      <c r="C23" s="89">
        <f>'Attendance Report_Second'!C23</f>
        <v>9.35</v>
      </c>
      <c r="D23" s="136">
        <f>'Attendance Report_Second'!D23</f>
        <v>0.73888888888888893</v>
      </c>
      <c r="E23" s="98">
        <f>'Attendance Report_Second'!E23</f>
        <v>0</v>
      </c>
      <c r="F23" s="99">
        <f>'Attendance Report_Second'!F23</f>
        <v>0</v>
      </c>
      <c r="G23" s="137">
        <f t="shared" si="0"/>
        <v>0</v>
      </c>
      <c r="H23" s="138">
        <f t="shared" si="1"/>
        <v>0</v>
      </c>
      <c r="I23" s="139"/>
      <c r="J23" s="5"/>
      <c r="K23" s="92">
        <f>Billing!C33</f>
        <v>0</v>
      </c>
      <c r="L23" s="70">
        <f>Billing!D33</f>
        <v>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97" t="e">
        <f t="shared" si="2"/>
        <v>#VALUE!</v>
      </c>
      <c r="C24" s="89">
        <f>'Attendance Report_Second'!C24</f>
        <v>0.39583333333333331</v>
      </c>
      <c r="D24" s="136">
        <f>'Attendance Report_Second'!D24</f>
        <v>0.82847222222222217</v>
      </c>
      <c r="E24" s="98">
        <f>'Attendance Report_Second'!E24</f>
        <v>0</v>
      </c>
      <c r="F24" s="99">
        <f>'Attendance Report_Second'!F24</f>
        <v>0</v>
      </c>
      <c r="G24" s="140">
        <f t="shared" si="0"/>
        <v>8</v>
      </c>
      <c r="H24" s="138">
        <f t="shared" si="1"/>
        <v>0</v>
      </c>
      <c r="I24" s="139"/>
      <c r="J24" s="5"/>
      <c r="K24" s="92">
        <f>Billing!C34</f>
        <v>0</v>
      </c>
      <c r="L24" s="70">
        <f>Billing!D34</f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97" t="e">
        <f t="shared" si="2"/>
        <v>#VALUE!</v>
      </c>
      <c r="C25" s="89">
        <f>'Attendance Report_Second'!C25</f>
        <v>0</v>
      </c>
      <c r="D25" s="136">
        <f>'Attendance Report_Second'!D25</f>
        <v>0</v>
      </c>
      <c r="E25" s="98">
        <f>'Attendance Report_Second'!E25</f>
        <v>0</v>
      </c>
      <c r="F25" s="99">
        <f>'Attendance Report_Second'!F25</f>
        <v>0</v>
      </c>
      <c r="G25" s="140">
        <f t="shared" si="0"/>
        <v>0</v>
      </c>
      <c r="H25" s="138">
        <f t="shared" si="1"/>
        <v>0</v>
      </c>
      <c r="I25" s="139"/>
      <c r="J25" s="5"/>
      <c r="K25" s="92">
        <f>Billing!C35</f>
        <v>0</v>
      </c>
      <c r="L25" s="70">
        <f>Billing!D35</f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97" t="e">
        <f t="shared" si="2"/>
        <v>#VALUE!</v>
      </c>
      <c r="C26" s="89">
        <f>'Attendance Report_Second'!C26</f>
        <v>0</v>
      </c>
      <c r="D26" s="136">
        <f>'Attendance Report_Second'!D26</f>
        <v>0</v>
      </c>
      <c r="E26" s="98">
        <f>'Attendance Report_Second'!E26</f>
        <v>0</v>
      </c>
      <c r="F26" s="99">
        <f>'Attendance Report_Second'!F26</f>
        <v>0</v>
      </c>
      <c r="G26" s="140">
        <f t="shared" si="0"/>
        <v>0</v>
      </c>
      <c r="H26" s="138">
        <f t="shared" si="1"/>
        <v>0</v>
      </c>
      <c r="I26" s="139"/>
      <c r="J26" s="5"/>
      <c r="K26" s="92">
        <f>Billing!C36</f>
        <v>0</v>
      </c>
      <c r="L26" s="70">
        <f>Billing!D36</f>
        <v>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141" t="e">
        <f t="shared" si="2"/>
        <v>#VALUE!</v>
      </c>
      <c r="C27" s="142">
        <f>'Attendance Report__First'!C12</f>
        <v>0</v>
      </c>
      <c r="D27" s="143">
        <f>'Attendance Report__First'!D12</f>
        <v>0</v>
      </c>
      <c r="E27" s="144">
        <f>'Attendance Report__First'!E12</f>
        <v>0</v>
      </c>
      <c r="F27" s="121">
        <f>'Attendance Report__First'!F12</f>
        <v>0</v>
      </c>
      <c r="G27" s="140">
        <f t="shared" si="0"/>
        <v>0</v>
      </c>
      <c r="H27" s="145">
        <f t="shared" si="1"/>
        <v>0</v>
      </c>
      <c r="I27" s="146"/>
      <c r="J27" s="5"/>
      <c r="K27" s="92">
        <f>Billing!C37</f>
        <v>0</v>
      </c>
      <c r="L27" s="70">
        <f>Billing!D37</f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141" t="e">
        <f t="shared" si="2"/>
        <v>#VALUE!</v>
      </c>
      <c r="C28" s="142">
        <f>'Attendance Report__First'!C13</f>
        <v>0</v>
      </c>
      <c r="D28" s="143">
        <f>'Attendance Report__First'!D13</f>
        <v>0</v>
      </c>
      <c r="E28" s="144">
        <f>'Attendance Report__First'!E13</f>
        <v>0</v>
      </c>
      <c r="F28" s="121">
        <f>'Attendance Report__First'!F13</f>
        <v>0</v>
      </c>
      <c r="G28" s="137">
        <f t="shared" si="0"/>
        <v>0</v>
      </c>
      <c r="H28" s="145">
        <f t="shared" si="1"/>
        <v>0</v>
      </c>
      <c r="I28" s="146"/>
      <c r="J28" s="5"/>
      <c r="K28" s="92">
        <f>Billing!C38</f>
        <v>0</v>
      </c>
      <c r="L28" s="70">
        <f>Billing!D38</f>
        <v>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141" t="e">
        <f t="shared" si="2"/>
        <v>#VALUE!</v>
      </c>
      <c r="C29" s="142">
        <f>'Attendance Report__First'!C14</f>
        <v>0.32361111111111113</v>
      </c>
      <c r="D29" s="143">
        <f>'Attendance Report__First'!D14</f>
        <v>0.73263888888888884</v>
      </c>
      <c r="E29" s="144">
        <f>'Attendance Report__First'!E14</f>
        <v>0</v>
      </c>
      <c r="F29" s="121">
        <f>'Attendance Report__First'!F14</f>
        <v>0</v>
      </c>
      <c r="G29" s="137">
        <f t="shared" si="0"/>
        <v>8</v>
      </c>
      <c r="H29" s="145">
        <f t="shared" si="1"/>
        <v>0</v>
      </c>
      <c r="I29" s="146"/>
      <c r="J29" s="5"/>
      <c r="K29" s="92">
        <f>Billing!C39</f>
        <v>0</v>
      </c>
      <c r="L29" s="70">
        <f>Billing!D39</f>
        <v>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141" t="e">
        <f t="shared" si="2"/>
        <v>#VALUE!</v>
      </c>
      <c r="C30" s="142">
        <f>'Attendance Report__First'!C15</f>
        <v>0.33819444444444446</v>
      </c>
      <c r="D30" s="143">
        <f>'Attendance Report__First'!D15</f>
        <v>0.73125000000000007</v>
      </c>
      <c r="E30" s="144">
        <f>'Attendance Report__First'!E15</f>
        <v>0</v>
      </c>
      <c r="F30" s="121">
        <f>'Attendance Report__First'!F15</f>
        <v>0</v>
      </c>
      <c r="G30" s="137">
        <f t="shared" si="0"/>
        <v>8</v>
      </c>
      <c r="H30" s="145">
        <f t="shared" si="1"/>
        <v>0</v>
      </c>
      <c r="I30" s="146"/>
      <c r="J30" s="5"/>
      <c r="K30" s="92">
        <f>Billing!C40</f>
        <v>0</v>
      </c>
      <c r="L30" s="70">
        <f>Billing!D40</f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141" t="e">
        <f t="shared" si="2"/>
        <v>#VALUE!</v>
      </c>
      <c r="C31" s="142">
        <f>'Attendance Report__First'!C16</f>
        <v>0.32500000000000001</v>
      </c>
      <c r="D31" s="143">
        <f>'Attendance Report__First'!D16</f>
        <v>0.72916666666666663</v>
      </c>
      <c r="E31" s="144">
        <f>'Attendance Report__First'!E16</f>
        <v>0</v>
      </c>
      <c r="F31" s="121">
        <f>'Attendance Report__First'!F16</f>
        <v>0</v>
      </c>
      <c r="G31" s="140">
        <f t="shared" si="0"/>
        <v>8</v>
      </c>
      <c r="H31" s="145">
        <f t="shared" si="1"/>
        <v>0</v>
      </c>
      <c r="I31" s="146"/>
      <c r="J31" s="5"/>
      <c r="K31" s="92">
        <f>Billing!C41</f>
        <v>0</v>
      </c>
      <c r="L31" s="70">
        <f>Billing!D41</f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141" t="e">
        <f t="shared" si="2"/>
        <v>#VALUE!</v>
      </c>
      <c r="C32" s="142">
        <f>'Attendance Report__First'!C17</f>
        <v>0.33402777777777781</v>
      </c>
      <c r="D32" s="143">
        <f>'Attendance Report__First'!D17</f>
        <v>0.72916666666666663</v>
      </c>
      <c r="E32" s="144">
        <f>'Attendance Report__First'!E17</f>
        <v>0</v>
      </c>
      <c r="F32" s="121">
        <f>'Attendance Report__First'!F17</f>
        <v>0</v>
      </c>
      <c r="G32" s="140">
        <f t="shared" si="0"/>
        <v>8</v>
      </c>
      <c r="H32" s="145">
        <f t="shared" si="1"/>
        <v>0</v>
      </c>
      <c r="I32" s="146"/>
      <c r="J32" s="5"/>
      <c r="K32" s="92">
        <f>Billing!C42</f>
        <v>0</v>
      </c>
      <c r="L32" s="70">
        <f>Billing!D42</f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141" t="e">
        <f t="shared" si="2"/>
        <v>#VALUE!</v>
      </c>
      <c r="C33" s="142">
        <f>'Attendance Report__First'!C18</f>
        <v>0.30069444444444443</v>
      </c>
      <c r="D33" s="143">
        <f>'Attendance Report__First'!D18</f>
        <v>0.73541666666666661</v>
      </c>
      <c r="E33" s="144">
        <f>'Attendance Report__First'!E18</f>
        <v>0</v>
      </c>
      <c r="F33" s="121">
        <f>'Attendance Report__First'!F18</f>
        <v>0</v>
      </c>
      <c r="G33" s="140">
        <f t="shared" si="0"/>
        <v>8</v>
      </c>
      <c r="H33" s="145">
        <f t="shared" si="1"/>
        <v>0</v>
      </c>
      <c r="I33" s="146"/>
      <c r="J33" s="5"/>
      <c r="K33" s="92">
        <f>Billing!C43</f>
        <v>0</v>
      </c>
      <c r="L33" s="70">
        <f>Billing!D43</f>
        <v>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141" t="e">
        <f t="shared" si="2"/>
        <v>#VALUE!</v>
      </c>
      <c r="C34" s="142">
        <f>'Attendance Report__First'!C19</f>
        <v>0</v>
      </c>
      <c r="D34" s="143">
        <f>'Attendance Report__First'!D19</f>
        <v>0</v>
      </c>
      <c r="E34" s="144">
        <f>'Attendance Report__First'!E19</f>
        <v>0</v>
      </c>
      <c r="F34" s="121">
        <f>'Attendance Report__First'!F19</f>
        <v>0</v>
      </c>
      <c r="G34" s="137">
        <f t="shared" si="0"/>
        <v>0</v>
      </c>
      <c r="H34" s="145">
        <f t="shared" si="1"/>
        <v>0</v>
      </c>
      <c r="I34" s="146"/>
      <c r="J34" s="5"/>
      <c r="K34" s="92">
        <f>Billing!C44</f>
        <v>0</v>
      </c>
      <c r="L34" s="70">
        <f>Billing!D44</f>
        <v>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141" t="e">
        <f t="shared" si="2"/>
        <v>#VALUE!</v>
      </c>
      <c r="C35" s="142">
        <f>'Attendance Report__First'!C20</f>
        <v>0</v>
      </c>
      <c r="D35" s="143">
        <f>'Attendance Report__First'!D20</f>
        <v>0</v>
      </c>
      <c r="E35" s="144">
        <f>'Attendance Report__First'!E20</f>
        <v>0</v>
      </c>
      <c r="F35" s="121">
        <f>'Attendance Report__First'!F20</f>
        <v>0</v>
      </c>
      <c r="G35" s="137">
        <f t="shared" si="0"/>
        <v>0</v>
      </c>
      <c r="H35" s="145">
        <f t="shared" si="1"/>
        <v>0</v>
      </c>
      <c r="I35" s="146"/>
      <c r="J35" s="5"/>
      <c r="K35" s="92">
        <f>Billing!C45</f>
        <v>0</v>
      </c>
      <c r="L35" s="70">
        <f>Billing!D45</f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141" t="e">
        <f t="shared" si="2"/>
        <v>#VALUE!</v>
      </c>
      <c r="C36" s="142">
        <f>'Attendance Report__First'!C21</f>
        <v>0</v>
      </c>
      <c r="D36" s="143">
        <f>'Attendance Report__First'!D21</f>
        <v>0</v>
      </c>
      <c r="E36" s="144">
        <f>'Attendance Report__First'!E21</f>
        <v>0</v>
      </c>
      <c r="F36" s="121">
        <f>'Attendance Report__First'!F21</f>
        <v>0</v>
      </c>
      <c r="G36" s="137">
        <f t="shared" si="0"/>
        <v>0</v>
      </c>
      <c r="H36" s="145">
        <f t="shared" si="1"/>
        <v>0</v>
      </c>
      <c r="I36" s="146"/>
      <c r="J36" s="5"/>
      <c r="K36" s="92">
        <f>Billing!C46</f>
        <v>0</v>
      </c>
      <c r="L36" s="70">
        <f>Billing!D46</f>
        <v>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141" t="e">
        <f t="shared" si="2"/>
        <v>#VALUE!</v>
      </c>
      <c r="C37" s="142">
        <f>'Attendance Report__First'!C22</f>
        <v>0.33263888888888887</v>
      </c>
      <c r="D37" s="143">
        <f>'Attendance Report__First'!D22</f>
        <v>0.72916666666666663</v>
      </c>
      <c r="E37" s="144">
        <f>'Attendance Report__First'!E22</f>
        <v>0</v>
      </c>
      <c r="F37" s="121">
        <f>'Attendance Report__First'!F22</f>
        <v>0</v>
      </c>
      <c r="G37" s="137">
        <f t="shared" si="0"/>
        <v>8</v>
      </c>
      <c r="H37" s="145">
        <f t="shared" si="1"/>
        <v>0</v>
      </c>
      <c r="I37" s="146"/>
      <c r="J37" s="5"/>
      <c r="K37" s="92">
        <f>Billing!C47</f>
        <v>0</v>
      </c>
      <c r="L37" s="70">
        <f>Billing!D47</f>
        <v>0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141" t="e">
        <f t="shared" si="2"/>
        <v>#VALUE!</v>
      </c>
      <c r="C38" s="142">
        <f>'Attendance Report__First'!C23</f>
        <v>0.32500000000000001</v>
      </c>
      <c r="D38" s="143">
        <f>'Attendance Report__First'!D23</f>
        <v>0.63888888888888895</v>
      </c>
      <c r="E38" s="144">
        <f>'Attendance Report__First'!E23</f>
        <v>0</v>
      </c>
      <c r="F38" s="121">
        <f>'Attendance Report__First'!F23</f>
        <v>0</v>
      </c>
      <c r="G38" s="137">
        <f t="shared" si="0"/>
        <v>6.53</v>
      </c>
      <c r="H38" s="145">
        <f t="shared" si="1"/>
        <v>0</v>
      </c>
      <c r="I38" s="146"/>
      <c r="J38" s="5"/>
      <c r="K38" s="92">
        <f>Billing!C48</f>
        <v>0</v>
      </c>
      <c r="L38" s="70">
        <f>Billing!D48</f>
        <v>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141" t="e">
        <f t="shared" si="2"/>
        <v>#VALUE!</v>
      </c>
      <c r="C39" s="142">
        <f>'Attendance Report__First'!C24</f>
        <v>0.3347222222222222</v>
      </c>
      <c r="D39" s="143">
        <f>'Attendance Report__First'!D24</f>
        <v>0.72916666666666663</v>
      </c>
      <c r="E39" s="144">
        <f>'Attendance Report__First'!E24</f>
        <v>0</v>
      </c>
      <c r="F39" s="121">
        <f>'Attendance Report__First'!F24</f>
        <v>0</v>
      </c>
      <c r="G39" s="137">
        <f t="shared" si="0"/>
        <v>8</v>
      </c>
      <c r="H39" s="145">
        <f t="shared" si="1"/>
        <v>0</v>
      </c>
      <c r="I39" s="146"/>
      <c r="J39" s="5"/>
      <c r="K39" s="92">
        <f>Billing!C49</f>
        <v>0</v>
      </c>
      <c r="L39" s="70">
        <f>Billing!D49</f>
        <v>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141" t="e">
        <f t="shared" si="2"/>
        <v>#VALUE!</v>
      </c>
      <c r="C40" s="142">
        <f>'Attendance Report__First'!C25</f>
        <v>0.29305555555555557</v>
      </c>
      <c r="D40" s="143">
        <f>'Attendance Report__First'!D25</f>
        <v>0.72916666666666663</v>
      </c>
      <c r="E40" s="144">
        <f>'Attendance Report__First'!E25</f>
        <v>0</v>
      </c>
      <c r="F40" s="121">
        <f>'Attendance Report__First'!F25</f>
        <v>0</v>
      </c>
      <c r="G40" s="137">
        <f t="shared" si="0"/>
        <v>8</v>
      </c>
      <c r="H40" s="145">
        <f t="shared" si="1"/>
        <v>0</v>
      </c>
      <c r="I40" s="146"/>
      <c r="J40" s="5"/>
      <c r="K40" s="92">
        <f>Billing!C50</f>
        <v>0</v>
      </c>
      <c r="L40" s="70">
        <f>Billing!D50</f>
        <v>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141" t="e">
        <f t="shared" si="2"/>
        <v>#VALUE!</v>
      </c>
      <c r="C41" s="142">
        <f>'Attendance Report__First'!C26</f>
        <v>0</v>
      </c>
      <c r="D41" s="143">
        <f>'Attendance Report__First'!D26</f>
        <v>0</v>
      </c>
      <c r="E41" s="144">
        <f>'Attendance Report__First'!E26</f>
        <v>0</v>
      </c>
      <c r="F41" s="121">
        <f>'Attendance Report__First'!F26</f>
        <v>0</v>
      </c>
      <c r="G41" s="140">
        <f t="shared" si="0"/>
        <v>0</v>
      </c>
      <c r="H41" s="145">
        <f t="shared" si="1"/>
        <v>0</v>
      </c>
      <c r="I41" s="146"/>
      <c r="J41" s="5"/>
      <c r="K41" s="92">
        <f>Billing!C51</f>
        <v>0</v>
      </c>
      <c r="L41" s="70">
        <f>Billing!D51</f>
        <v>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141" t="e">
        <f t="shared" si="2"/>
        <v>#VALUE!</v>
      </c>
      <c r="C42" s="142" t="e">
        <f>'Attendance Report__First'!#REF!</f>
        <v>#REF!</v>
      </c>
      <c r="D42" s="143" t="e">
        <f>'Attendance Report__First'!#REF!</f>
        <v>#REF!</v>
      </c>
      <c r="E42" s="144" t="e">
        <f>'Attendance Report__First'!#REF!</f>
        <v>#REF!</v>
      </c>
      <c r="F42" s="121" t="e">
        <f>'Attendance Report__First'!#REF!</f>
        <v>#REF!</v>
      </c>
      <c r="G42" s="140" t="e">
        <f t="shared" si="0"/>
        <v>#REF!</v>
      </c>
      <c r="H42" s="145" t="e">
        <f t="shared" si="1"/>
        <v>#REF!</v>
      </c>
      <c r="I42" s="146"/>
      <c r="J42" s="5"/>
      <c r="K42" s="92">
        <f>Billing!C52</f>
        <v>0</v>
      </c>
      <c r="L42" s="70">
        <f>Billing!D52</f>
        <v>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101"/>
      <c r="C43" s="122"/>
      <c r="D43" s="123"/>
      <c r="E43" s="102"/>
      <c r="F43" s="103"/>
      <c r="G43" s="147"/>
      <c r="H43" s="124"/>
      <c r="I43" s="14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112" t="s">
        <v>117</v>
      </c>
      <c r="C45" s="5"/>
      <c r="D45" s="5"/>
      <c r="E45" s="5"/>
      <c r="F45" s="5"/>
      <c r="G45" s="5"/>
      <c r="H45" s="112" t="s">
        <v>129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387" t="s">
        <v>130</v>
      </c>
      <c r="C47" s="289"/>
      <c r="D47" s="289"/>
      <c r="E47" s="289"/>
      <c r="F47" s="5"/>
      <c r="G47" s="5"/>
      <c r="H47" s="388" t="s">
        <v>131</v>
      </c>
      <c r="I47" s="28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112" t="s">
        <v>123</v>
      </c>
      <c r="C48" s="5"/>
      <c r="D48" s="5"/>
      <c r="E48" s="5"/>
      <c r="F48" s="5"/>
      <c r="G48" s="5"/>
      <c r="H48" s="112" t="s">
        <v>132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"/>
      <c r="F49" s="5"/>
      <c r="G49" s="5"/>
      <c r="H49" s="115" t="s">
        <v>133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2">
    <mergeCell ref="E10:F10"/>
    <mergeCell ref="G10:H10"/>
    <mergeCell ref="B47:E47"/>
    <mergeCell ref="H47:I47"/>
    <mergeCell ref="B1:I3"/>
    <mergeCell ref="B4:C4"/>
    <mergeCell ref="B5:C5"/>
    <mergeCell ref="B6:C6"/>
    <mergeCell ref="B7:C8"/>
    <mergeCell ref="B10:B11"/>
    <mergeCell ref="C10:D10"/>
    <mergeCell ref="I10:I11"/>
  </mergeCells>
  <conditionalFormatting sqref="G12:H42">
    <cfRule type="cellIs" dxfId="6" priority="1" stopIfTrue="1" operator="lessThan">
      <formula>K12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showGridLines="0" workbookViewId="0"/>
  </sheetViews>
  <sheetFormatPr defaultColWidth="14.42578125" defaultRowHeight="15" customHeight="1"/>
  <cols>
    <col min="1" max="1" width="2.7109375" customWidth="1"/>
    <col min="2" max="3" width="9.140625" customWidth="1"/>
    <col min="4" max="4" width="11.28515625" customWidth="1"/>
    <col min="5" max="6" width="12.42578125" customWidth="1"/>
    <col min="7" max="7" width="9.140625" customWidth="1"/>
    <col min="8" max="8" width="4.140625" customWidth="1"/>
    <col min="9" max="9" width="19" customWidth="1"/>
    <col min="10" max="11" width="9.140625" customWidth="1"/>
    <col min="12" max="12" width="9.140625" hidden="1" customWidth="1"/>
    <col min="13" max="13" width="11.7109375" customWidth="1"/>
    <col min="14" max="14" width="11" customWidth="1"/>
    <col min="15" max="15" width="11.7109375" customWidth="1"/>
    <col min="16" max="16" width="10.140625" customWidth="1"/>
    <col min="17" max="17" width="11.7109375" customWidth="1"/>
    <col min="18" max="18" width="9.140625" customWidth="1"/>
    <col min="19" max="21" width="9.140625" hidden="1" customWidth="1"/>
    <col min="22" max="22" width="22" customWidth="1"/>
    <col min="23" max="23" width="13.42578125" customWidth="1"/>
    <col min="24" max="24" width="16.42578125" customWidth="1"/>
    <col min="25" max="25" width="9" customWidth="1"/>
    <col min="26" max="26" width="12.42578125" customWidth="1"/>
    <col min="27" max="27" width="10.42578125" customWidth="1"/>
    <col min="28" max="28" width="10" customWidth="1"/>
    <col min="29" max="29" width="10.42578125" customWidth="1"/>
    <col min="30" max="30" width="9.140625" customWidth="1"/>
    <col min="31" max="31" width="12.140625" customWidth="1"/>
    <col min="32" max="32" width="11.28515625" customWidth="1"/>
  </cols>
  <sheetData>
    <row r="1" spans="1:32" ht="14.25" customHeight="1">
      <c r="A1" s="5"/>
      <c r="B1" s="410" t="s">
        <v>134</v>
      </c>
      <c r="C1" s="346"/>
      <c r="D1" s="346"/>
      <c r="E1" s="346"/>
      <c r="F1" s="346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8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4.25" customHeight="1">
      <c r="A2" s="5"/>
      <c r="B2" s="390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4.25" customHeight="1">
      <c r="A3" s="5"/>
      <c r="B3" s="5"/>
      <c r="C3" s="5"/>
      <c r="D3" s="5"/>
      <c r="E3" s="5"/>
      <c r="F3" s="16"/>
      <c r="G3" s="5"/>
      <c r="H3" s="5"/>
      <c r="I3" s="288" t="s">
        <v>135</v>
      </c>
      <c r="J3" s="289"/>
      <c r="K3" s="289"/>
      <c r="L3" s="289"/>
      <c r="M3" s="289"/>
      <c r="N3" s="289"/>
      <c r="O3" s="289"/>
      <c r="P3" s="289"/>
      <c r="Q3" s="289"/>
      <c r="R3" s="5"/>
      <c r="S3" s="5"/>
      <c r="T3" s="5"/>
      <c r="U3" s="5"/>
      <c r="V3" s="411" t="s">
        <v>136</v>
      </c>
      <c r="W3" s="412"/>
      <c r="X3" s="412"/>
      <c r="Y3" s="412"/>
      <c r="Z3" s="412"/>
      <c r="AA3" s="412"/>
      <c r="AB3" s="412"/>
      <c r="AC3" s="412"/>
      <c r="AD3" s="5"/>
      <c r="AE3" s="5"/>
      <c r="AF3" s="5"/>
    </row>
    <row r="4" spans="1:32" ht="15.75" customHeight="1">
      <c r="A4" s="5"/>
      <c r="B4" s="350" t="s">
        <v>33</v>
      </c>
      <c r="C4" s="351"/>
      <c r="D4" s="149" t="str">
        <f>IF(DailyAccomplishmentReport!D3&lt;&gt;"",DailyAccomplishmentReport!D3,"")</f>
        <v>MIKAELLA ANDREA DEVELOS</v>
      </c>
      <c r="E4" s="150"/>
      <c r="F4" s="16"/>
      <c r="G4" s="5"/>
      <c r="H4" s="5"/>
      <c r="I4" s="413" t="s">
        <v>10</v>
      </c>
      <c r="J4" s="415" t="s">
        <v>43</v>
      </c>
      <c r="K4" s="291"/>
      <c r="L4" s="407"/>
      <c r="M4" s="416" t="s">
        <v>137</v>
      </c>
      <c r="N4" s="291"/>
      <c r="O4" s="291"/>
      <c r="P4" s="318" t="s">
        <v>138</v>
      </c>
      <c r="Q4" s="408" t="s">
        <v>139</v>
      </c>
      <c r="R4" s="5"/>
      <c r="S4" s="5"/>
      <c r="T4" s="5"/>
      <c r="U4" s="5"/>
      <c r="V4" s="270"/>
      <c r="W4" s="271"/>
      <c r="X4" s="272" t="s">
        <v>230</v>
      </c>
      <c r="Y4" s="271"/>
      <c r="Z4" s="271"/>
      <c r="AA4" s="271"/>
      <c r="AB4" s="271"/>
      <c r="AC4" s="271"/>
      <c r="AD4" s="273"/>
      <c r="AE4" s="5"/>
      <c r="AF4" s="5"/>
    </row>
    <row r="5" spans="1:32" ht="14.25" customHeight="1">
      <c r="A5" s="5"/>
      <c r="B5" s="350" t="str">
        <f>DailyAccomplishmentReport!B4:C4</f>
        <v>Provider                     :</v>
      </c>
      <c r="C5" s="351"/>
      <c r="D5" s="151" t="str">
        <f>IF(DailyAccomplishmentReport!D4&lt;&gt;"",DailyAccomplishmentReport!D4,"")</f>
        <v>RADIX</v>
      </c>
      <c r="E5" s="152"/>
      <c r="F5" s="16"/>
      <c r="G5" s="5"/>
      <c r="H5" s="5"/>
      <c r="I5" s="414"/>
      <c r="J5" s="153" t="s">
        <v>63</v>
      </c>
      <c r="K5" s="154" t="s">
        <v>112</v>
      </c>
      <c r="L5" s="155" t="s">
        <v>147</v>
      </c>
      <c r="M5" s="156" t="s">
        <v>63</v>
      </c>
      <c r="N5" s="157" t="s">
        <v>112</v>
      </c>
      <c r="O5" s="158" t="s">
        <v>69</v>
      </c>
      <c r="P5" s="311"/>
      <c r="Q5" s="409"/>
      <c r="R5" s="5"/>
      <c r="S5" s="5"/>
      <c r="T5" s="5"/>
      <c r="U5" s="5"/>
      <c r="V5" s="272" t="s">
        <v>10</v>
      </c>
      <c r="W5" s="272" t="s">
        <v>57</v>
      </c>
      <c r="X5" s="270" t="s">
        <v>140</v>
      </c>
      <c r="Y5" s="274" t="s">
        <v>141</v>
      </c>
      <c r="Z5" s="274" t="s">
        <v>142</v>
      </c>
      <c r="AA5" s="274" t="s">
        <v>143</v>
      </c>
      <c r="AB5" s="274" t="s">
        <v>144</v>
      </c>
      <c r="AC5" s="274" t="s">
        <v>145</v>
      </c>
      <c r="AD5" s="275" t="s">
        <v>146</v>
      </c>
      <c r="AE5" s="5"/>
      <c r="AF5" s="5"/>
    </row>
    <row r="6" spans="1:32" ht="14.25" customHeight="1">
      <c r="A6" s="5"/>
      <c r="B6" s="350" t="s">
        <v>149</v>
      </c>
      <c r="C6" s="351"/>
      <c r="D6" s="151" t="str">
        <f>IF(DailyAccomplishmentReport!D5&lt;&gt;"",DailyAccomplishmentReport!D5,"")</f>
        <v>Jun M. Salvanera</v>
      </c>
      <c r="E6" s="152"/>
      <c r="F6" s="16"/>
      <c r="G6" s="5"/>
      <c r="H6" s="5"/>
      <c r="I6" s="159" t="str">
        <f t="array" ref="I6">IFERROR(INDEX(list1,MATCH(0,COUNTIF($I$5:I5,list1)+IF(COUNTIF(list1,list1)&gt;1,0,1),0)),"")</f>
        <v>OP - IT</v>
      </c>
      <c r="J6" s="160">
        <f ca="1">SUMIF(DailyAccomplishmentReport!$S$12:$S$27,Billing!I6,DailyAccomplishmentReport!$C$12:$C$26)</f>
        <v>69.83</v>
      </c>
      <c r="K6" s="161">
        <f ca="1">SUMIF(DailyAccomplishmentReport!$S$12:$S$27,Billing!I6,DailyAccomplishmentReport!$AP$12:$AP$26)</f>
        <v>0</v>
      </c>
      <c r="L6" s="162">
        <f ca="1">IFERROR(SUMIF(DailyAccomplishmentReport!$S$12:$S$27,Billing!I6,DailyAccomplishmentReport!$X$12:$X$26),0)</f>
        <v>0</v>
      </c>
      <c r="M6" s="163">
        <f t="shared" ref="M6:M17" ca="1" si="0">J6*$E$10</f>
        <v>0</v>
      </c>
      <c r="N6" s="164">
        <f t="shared" ref="N6:N17" ca="1" si="1">$E$10*K6</f>
        <v>0</v>
      </c>
      <c r="O6" s="165">
        <f t="shared" ref="O6:O17" ca="1" si="2">N6+M6</f>
        <v>0</v>
      </c>
      <c r="P6" s="166">
        <f t="shared" ref="P6:P17" ca="1" si="3">O6*$S$20</f>
        <v>0</v>
      </c>
      <c r="Q6" s="167">
        <f t="shared" ref="Q6:Q17" ca="1" si="4">P6+O6</f>
        <v>0</v>
      </c>
      <c r="R6" s="5"/>
      <c r="S6" s="5"/>
      <c r="T6" s="5"/>
      <c r="U6" s="5"/>
      <c r="V6" s="270">
        <v>0</v>
      </c>
      <c r="W6" s="270">
        <v>0</v>
      </c>
      <c r="X6" s="276">
        <v>0</v>
      </c>
      <c r="Y6" s="277">
        <v>0</v>
      </c>
      <c r="Z6" s="277">
        <v>0</v>
      </c>
      <c r="AA6" s="277">
        <v>0</v>
      </c>
      <c r="AB6" s="277">
        <v>0</v>
      </c>
      <c r="AC6" s="277">
        <v>0</v>
      </c>
      <c r="AD6" s="278">
        <v>0</v>
      </c>
    </row>
    <row r="7" spans="1:32" ht="14.25" customHeight="1">
      <c r="A7" s="5"/>
      <c r="B7" s="350" t="s">
        <v>37</v>
      </c>
      <c r="C7" s="351"/>
      <c r="D7" s="151" t="str">
        <f>IF(DailyAccomplishmentReport!D6&lt;&gt;"",DailyAccomplishmentReport!D6,"")</f>
        <v>BD1</v>
      </c>
      <c r="E7" s="152"/>
      <c r="F7" s="16"/>
      <c r="G7" s="5"/>
      <c r="H7" s="5"/>
      <c r="I7" s="159" t="str">
        <f t="array" ref="I7">IFERROR(INDEX(list1,MATCH(0,COUNTIF($I$5:I6,list1)+IF(COUNTIF(list1,list1)&gt;1,0,1),0)),"")</f>
        <v/>
      </c>
      <c r="J7" s="168">
        <f ca="1">SUMIF(DailyAccomplishmentReport!$S$12:$S$27,Billing!I7,DailyAccomplishmentReport!$C$12:$C$26)</f>
        <v>0</v>
      </c>
      <c r="K7" s="161">
        <f ca="1">SUMIF(DailyAccomplishmentReport!$S$12:$S$27,Billing!I7,DailyAccomplishmentReport!$AP$12:$AP$26)</f>
        <v>0</v>
      </c>
      <c r="L7" s="162">
        <f ca="1">IFERROR(SUMIF(DailyAccomplishmentReport!$S$12:$S$27,Billing!I7,DailyAccomplishmentReport!$X$12:$X$26),0)</f>
        <v>0</v>
      </c>
      <c r="M7" s="169">
        <f t="shared" ca="1" si="0"/>
        <v>0</v>
      </c>
      <c r="N7" s="170">
        <f t="shared" ca="1" si="1"/>
        <v>0</v>
      </c>
      <c r="O7" s="171">
        <f t="shared" ca="1" si="2"/>
        <v>0</v>
      </c>
      <c r="P7" s="172">
        <f t="shared" ca="1" si="3"/>
        <v>0</v>
      </c>
      <c r="Q7" s="173">
        <f t="shared" ca="1" si="4"/>
        <v>0</v>
      </c>
      <c r="R7" s="5"/>
      <c r="S7" s="5"/>
      <c r="T7" s="5"/>
      <c r="U7" s="5"/>
      <c r="V7" s="270" t="s">
        <v>232</v>
      </c>
      <c r="W7" s="271"/>
      <c r="X7" s="276">
        <v>0</v>
      </c>
      <c r="Y7" s="277">
        <v>0</v>
      </c>
      <c r="Z7" s="277">
        <v>0</v>
      </c>
      <c r="AA7" s="277">
        <v>0</v>
      </c>
      <c r="AB7" s="277">
        <v>0</v>
      </c>
      <c r="AC7" s="277">
        <v>0</v>
      </c>
      <c r="AD7" s="278">
        <v>0</v>
      </c>
    </row>
    <row r="8" spans="1:32" ht="14.25" customHeight="1">
      <c r="A8" s="5"/>
      <c r="B8" s="403" t="s">
        <v>39</v>
      </c>
      <c r="C8" s="399"/>
      <c r="D8" s="174" t="s">
        <v>40</v>
      </c>
      <c r="E8" s="175" t="s">
        <v>41</v>
      </c>
      <c r="F8" s="21"/>
      <c r="G8" s="5"/>
      <c r="H8" s="5"/>
      <c r="I8" s="159" t="str">
        <f t="array" ref="I8">IFERROR(INDEX(list1,MATCH(0,COUNTIF($I$5:I7,list1)+IF(COUNTIF(list1,list1)&gt;1,0,1),0)),"")</f>
        <v/>
      </c>
      <c r="J8" s="168">
        <f ca="1">SUMIF(DailyAccomplishmentReport!$S$12:$S$27,Billing!I8,DailyAccomplishmentReport!$C$12:$C$26)</f>
        <v>0</v>
      </c>
      <c r="K8" s="161">
        <f ca="1">SUMIF(DailyAccomplishmentReport!$S$12:$S$27,Billing!I8,DailyAccomplishmentReport!$AP$12:$AP$26)</f>
        <v>0</v>
      </c>
      <c r="L8" s="162">
        <f ca="1">IFERROR(SUMIF(DailyAccomplishmentReport!$S$12:$S$27,Billing!I8,DailyAccomplishmentReport!$X$12:$X$26),0)</f>
        <v>0</v>
      </c>
      <c r="M8" s="169">
        <f t="shared" ca="1" si="0"/>
        <v>0</v>
      </c>
      <c r="N8" s="170">
        <f t="shared" ca="1" si="1"/>
        <v>0</v>
      </c>
      <c r="O8" s="171">
        <f t="shared" ca="1" si="2"/>
        <v>0</v>
      </c>
      <c r="P8" s="172">
        <f t="shared" ca="1" si="3"/>
        <v>0</v>
      </c>
      <c r="Q8" s="173">
        <f t="shared" ca="1" si="4"/>
        <v>0</v>
      </c>
      <c r="R8" s="5"/>
      <c r="S8" s="5"/>
      <c r="T8" s="5"/>
      <c r="U8" s="5"/>
      <c r="V8" s="279" t="s">
        <v>148</v>
      </c>
      <c r="W8" s="280"/>
      <c r="X8" s="281">
        <v>0</v>
      </c>
      <c r="Y8" s="282">
        <v>0</v>
      </c>
      <c r="Z8" s="282">
        <v>0</v>
      </c>
      <c r="AA8" s="282">
        <v>0</v>
      </c>
      <c r="AB8" s="282">
        <v>0</v>
      </c>
      <c r="AC8" s="282">
        <v>0</v>
      </c>
      <c r="AD8" s="283">
        <v>0</v>
      </c>
    </row>
    <row r="9" spans="1:32" ht="14.25" customHeight="1">
      <c r="A9" s="5"/>
      <c r="B9" s="347"/>
      <c r="C9" s="348"/>
      <c r="D9" s="23" t="str">
        <f>DailyAccomplishmentReport!D8</f>
        <v>11/16/25</v>
      </c>
      <c r="E9" s="176" t="str">
        <f>DailyAccomplishmentReport!E8</f>
        <v>11/30/25</v>
      </c>
      <c r="F9" s="24"/>
      <c r="G9" s="5"/>
      <c r="H9" s="5"/>
      <c r="I9" s="159" t="str">
        <f t="array" ref="I9">IFERROR(INDEX(list1,MATCH(0,COUNTIF($I$5:I8,list1)+IF(COUNTIF(list1,list1)&gt;1,0,1),0)),"")</f>
        <v/>
      </c>
      <c r="J9" s="168">
        <f ca="1">SUMIF(DailyAccomplishmentReport!$S$12:$S$27,Billing!I9,DailyAccomplishmentReport!$C$12:$C$26)</f>
        <v>0</v>
      </c>
      <c r="K9" s="161">
        <f ca="1">SUMIF(DailyAccomplishmentReport!$S$12:$S$27,Billing!I9,DailyAccomplishmentReport!$AP$12:$AP$26)</f>
        <v>0</v>
      </c>
      <c r="L9" s="162">
        <f ca="1">IFERROR(SUMIF(DailyAccomplishmentReport!$S$12:$S$27,Billing!I9,DailyAccomplishmentReport!$X$12:$X$26),0)</f>
        <v>0</v>
      </c>
      <c r="M9" s="169">
        <f t="shared" ca="1" si="0"/>
        <v>0</v>
      </c>
      <c r="N9" s="170">
        <f t="shared" ca="1" si="1"/>
        <v>0</v>
      </c>
      <c r="O9" s="171">
        <f t="shared" ca="1" si="2"/>
        <v>0</v>
      </c>
      <c r="P9" s="172">
        <f t="shared" ca="1" si="3"/>
        <v>0</v>
      </c>
      <c r="Q9" s="173">
        <f t="shared" ca="1" si="4"/>
        <v>0</v>
      </c>
      <c r="R9" s="5"/>
      <c r="S9" s="5"/>
      <c r="T9" s="5"/>
      <c r="U9" s="5"/>
      <c r="AD9" s="5"/>
      <c r="AE9" s="5"/>
      <c r="AF9" s="5"/>
    </row>
    <row r="10" spans="1:32" ht="14.25" customHeight="1">
      <c r="A10" s="5"/>
      <c r="B10" s="404" t="s">
        <v>150</v>
      </c>
      <c r="C10" s="405"/>
      <c r="D10" s="177" t="s">
        <v>151</v>
      </c>
      <c r="E10" s="178"/>
      <c r="F10" s="179"/>
      <c r="G10" s="5"/>
      <c r="H10" s="5"/>
      <c r="I10" s="159" t="str">
        <f t="array" ref="I10">IFERROR(INDEX(list1,MATCH(0,COUNTIF($I$5:I9,list1)+IF(COUNTIF(list1,list1)&gt;1,0,1),0)),"")</f>
        <v/>
      </c>
      <c r="J10" s="180">
        <f ca="1">SUMIF(DailyAccomplishmentReport!$S$12:$S$27,Billing!I10,DailyAccomplishmentReport!$C$12:$C$26)</f>
        <v>0</v>
      </c>
      <c r="K10" s="161">
        <f ca="1">SUMIF(DailyAccomplishmentReport!$S$12:$S$27,Billing!I10,DailyAccomplishmentReport!$AP$12:$AP$26)</f>
        <v>0</v>
      </c>
      <c r="L10" s="162">
        <f ca="1">IFERROR(SUMIF(DailyAccomplishmentReport!$S$12:$S$27,Billing!I10,DailyAccomplishmentReport!$X$12:$X$26),0)</f>
        <v>0</v>
      </c>
      <c r="M10" s="181">
        <f t="shared" ca="1" si="0"/>
        <v>0</v>
      </c>
      <c r="N10" s="182">
        <f t="shared" ca="1" si="1"/>
        <v>0</v>
      </c>
      <c r="O10" s="183">
        <f t="shared" ca="1" si="2"/>
        <v>0</v>
      </c>
      <c r="P10" s="184">
        <f t="shared" ca="1" si="3"/>
        <v>0</v>
      </c>
      <c r="Q10" s="185">
        <f t="shared" ca="1" si="4"/>
        <v>0</v>
      </c>
      <c r="R10" s="5"/>
      <c r="S10" s="5"/>
      <c r="T10" s="5"/>
      <c r="U10" s="5"/>
      <c r="AD10" s="5"/>
      <c r="AE10" s="5"/>
      <c r="AF10" s="5"/>
    </row>
    <row r="11" spans="1:32" ht="14.25" customHeight="1">
      <c r="A11" s="5"/>
      <c r="B11" s="5"/>
      <c r="C11" s="5"/>
      <c r="D11" s="5"/>
      <c r="E11" s="5"/>
      <c r="F11" s="5"/>
      <c r="G11" s="5"/>
      <c r="H11" s="5"/>
      <c r="I11" s="159" t="str">
        <f t="array" ref="I11">IFERROR(INDEX(list1,MATCH(0,COUNTIF($I$5:I10,list1)+IF(COUNTIF(list1,list1)&gt;1,0,1),0)),"")</f>
        <v/>
      </c>
      <c r="J11" s="168">
        <f ca="1">SUMIF(DailyAccomplishmentReport!$S$12:$S$27,Billing!I11,DailyAccomplishmentReport!$C$12:$C$26)</f>
        <v>0</v>
      </c>
      <c r="K11" s="161">
        <f ca="1">SUMIF(DailyAccomplishmentReport!$S$12:$S$27,Billing!I11,DailyAccomplishmentReport!$AP$12:$AP$26)</f>
        <v>0</v>
      </c>
      <c r="L11" s="162">
        <f ca="1">IFERROR(SUMIF(DailyAccomplishmentReport!$S$12:$S$27,Billing!I11,DailyAccomplishmentReport!$X$12:$X$26),0)</f>
        <v>0</v>
      </c>
      <c r="M11" s="169">
        <f t="shared" ca="1" si="0"/>
        <v>0</v>
      </c>
      <c r="N11" s="170">
        <f t="shared" ca="1" si="1"/>
        <v>0</v>
      </c>
      <c r="O11" s="171">
        <f t="shared" ca="1" si="2"/>
        <v>0</v>
      </c>
      <c r="P11" s="172">
        <f t="shared" ca="1" si="3"/>
        <v>0</v>
      </c>
      <c r="Q11" s="173">
        <f t="shared" ca="1" si="4"/>
        <v>0</v>
      </c>
      <c r="R11" s="5"/>
      <c r="S11" s="5"/>
      <c r="T11" s="5"/>
      <c r="U11" s="5"/>
      <c r="AD11" s="5"/>
      <c r="AE11" s="5"/>
      <c r="AF11" s="5"/>
    </row>
    <row r="12" spans="1:32" ht="14.25" customHeight="1">
      <c r="A12" s="5"/>
      <c r="B12" s="5"/>
      <c r="C12" s="5"/>
      <c r="D12" s="5"/>
      <c r="E12" s="5"/>
      <c r="F12" s="5"/>
      <c r="G12" s="5"/>
      <c r="H12" s="5"/>
      <c r="I12" s="159" t="str">
        <f t="array" ref="I12">IFERROR(INDEX(list1,MATCH(0,COUNTIF($I$5:I11,list1)+IF(COUNTIF(list1,list1)&gt;1,0,1),0)),"")</f>
        <v/>
      </c>
      <c r="J12" s="168">
        <f ca="1">SUMIF(DailyAccomplishmentReport!$S$12:$S$27,Billing!I12,DailyAccomplishmentReport!$C$12:$C$26)</f>
        <v>0</v>
      </c>
      <c r="K12" s="161">
        <f ca="1">SUMIF(DailyAccomplishmentReport!$S$12:$S$27,Billing!I12,DailyAccomplishmentReport!$AP$12:$AP$26)</f>
        <v>0</v>
      </c>
      <c r="L12" s="162">
        <f ca="1">IFERROR(SUMIF(DailyAccomplishmentReport!$S$12:$S$27,Billing!I12,DailyAccomplishmentReport!$X$12:$X$26),0)</f>
        <v>0</v>
      </c>
      <c r="M12" s="169">
        <f t="shared" ca="1" si="0"/>
        <v>0</v>
      </c>
      <c r="N12" s="170">
        <f t="shared" ca="1" si="1"/>
        <v>0</v>
      </c>
      <c r="O12" s="171">
        <f t="shared" ca="1" si="2"/>
        <v>0</v>
      </c>
      <c r="P12" s="172">
        <f t="shared" ca="1" si="3"/>
        <v>0</v>
      </c>
      <c r="Q12" s="173">
        <f t="shared" ca="1" si="4"/>
        <v>0</v>
      </c>
      <c r="R12" s="5"/>
      <c r="S12" s="5"/>
      <c r="T12" s="5"/>
      <c r="U12" s="5"/>
      <c r="AD12" s="5"/>
      <c r="AE12" s="5"/>
      <c r="AF12" s="5"/>
    </row>
    <row r="13" spans="1:32" ht="14.25" customHeight="1">
      <c r="A13" s="5"/>
      <c r="B13" s="5"/>
      <c r="C13" s="5"/>
      <c r="D13" s="5"/>
      <c r="E13" s="5"/>
      <c r="F13" s="5"/>
      <c r="G13" s="5"/>
      <c r="H13" s="5"/>
      <c r="I13" s="159" t="str">
        <f t="array" ref="I13">IFERROR(INDEX(list1,MATCH(0,COUNTIF($I$5:I12,list1)+IF(COUNTIF(list1,list1)&gt;1,0,1),0)),"")</f>
        <v/>
      </c>
      <c r="J13" s="168">
        <f ca="1">SUMIF(DailyAccomplishmentReport!$S$12:$S$27,Billing!I13,DailyAccomplishmentReport!$C$12:$C$26)</f>
        <v>0</v>
      </c>
      <c r="K13" s="161">
        <f ca="1">SUMIF(DailyAccomplishmentReport!$S$12:$S$27,Billing!I13,DailyAccomplishmentReport!$AP$12:$AP$26)</f>
        <v>0</v>
      </c>
      <c r="L13" s="162">
        <f ca="1">IFERROR(SUMIF(DailyAccomplishmentReport!$S$12:$S$27,Billing!I13,DailyAccomplishmentReport!$X$12:$X$26),0)</f>
        <v>0</v>
      </c>
      <c r="M13" s="169">
        <f t="shared" ca="1" si="0"/>
        <v>0</v>
      </c>
      <c r="N13" s="170">
        <f t="shared" ca="1" si="1"/>
        <v>0</v>
      </c>
      <c r="O13" s="171">
        <f t="shared" ca="1" si="2"/>
        <v>0</v>
      </c>
      <c r="P13" s="172">
        <f t="shared" ca="1" si="3"/>
        <v>0</v>
      </c>
      <c r="Q13" s="173">
        <f t="shared" ca="1" si="4"/>
        <v>0</v>
      </c>
      <c r="R13" s="5"/>
      <c r="S13" s="5"/>
      <c r="T13" s="5"/>
      <c r="U13" s="5"/>
      <c r="AD13" s="5"/>
      <c r="AE13" s="5"/>
      <c r="AF13" s="5"/>
    </row>
    <row r="14" spans="1:32" ht="14.25" customHeight="1">
      <c r="A14" s="5"/>
      <c r="B14" s="5"/>
      <c r="C14" s="5"/>
      <c r="D14" s="5"/>
      <c r="E14" s="5"/>
      <c r="F14" s="5"/>
      <c r="G14" s="5"/>
      <c r="H14" s="5"/>
      <c r="I14" s="159" t="str">
        <f t="array" ref="I14">IFERROR(INDEX(list1,MATCH(0,COUNTIF($I$5:I13,list1)+IF(COUNTIF(list1,list1)&gt;1,0,1),0)),"")</f>
        <v/>
      </c>
      <c r="J14" s="168">
        <f ca="1">SUMIF(DailyAccomplishmentReport!$S$12:$S$27,Billing!I14,DailyAccomplishmentReport!$C$12:$C$26)</f>
        <v>0</v>
      </c>
      <c r="K14" s="161">
        <f ca="1">SUMIF(DailyAccomplishmentReport!$S$12:$S$27,Billing!I14,DailyAccomplishmentReport!$AP$12:$AP$26)</f>
        <v>0</v>
      </c>
      <c r="L14" s="162">
        <f ca="1">IFERROR(SUMIF(DailyAccomplishmentReport!$S$12:$S$27,Billing!I14,DailyAccomplishmentReport!$X$12:$X$26),0)</f>
        <v>0</v>
      </c>
      <c r="M14" s="169">
        <f t="shared" ca="1" si="0"/>
        <v>0</v>
      </c>
      <c r="N14" s="170">
        <f t="shared" ca="1" si="1"/>
        <v>0</v>
      </c>
      <c r="O14" s="171">
        <f t="shared" ca="1" si="2"/>
        <v>0</v>
      </c>
      <c r="P14" s="172">
        <f t="shared" ca="1" si="3"/>
        <v>0</v>
      </c>
      <c r="Q14" s="173">
        <f t="shared" ca="1" si="4"/>
        <v>0</v>
      </c>
      <c r="R14" s="5"/>
      <c r="S14" s="5"/>
      <c r="T14" s="5"/>
      <c r="U14" s="5"/>
      <c r="AD14" s="5"/>
      <c r="AE14" s="5"/>
      <c r="AF14" s="5"/>
    </row>
    <row r="15" spans="1:32" ht="14.25" customHeight="1">
      <c r="A15" s="5"/>
      <c r="B15" s="5"/>
      <c r="C15" s="5"/>
      <c r="D15" s="5"/>
      <c r="E15" s="5"/>
      <c r="F15" s="5"/>
      <c r="G15" s="5"/>
      <c r="H15" s="5"/>
      <c r="I15" s="159" t="str">
        <f t="array" ref="I15">IFERROR(INDEX(list1,MATCH(0,COUNTIF($I$5:I14,list1)+IF(COUNTIF(list1,list1)&gt;1,0,1),0)),"")</f>
        <v/>
      </c>
      <c r="J15" s="168">
        <f ca="1">SUMIF(DailyAccomplishmentReport!$S$12:$S$27,Billing!I15,DailyAccomplishmentReport!$C$12:$C$26)</f>
        <v>0</v>
      </c>
      <c r="K15" s="161">
        <f ca="1">SUMIF(DailyAccomplishmentReport!$S$12:$S$27,Billing!I15,DailyAccomplishmentReport!$AP$12:$AP$26)</f>
        <v>0</v>
      </c>
      <c r="L15" s="162">
        <f ca="1">IFERROR(SUMIF(DailyAccomplishmentReport!$S$12:$S$27,Billing!I15,DailyAccomplishmentReport!$X$12:$X$26),0)</f>
        <v>0</v>
      </c>
      <c r="M15" s="169">
        <f t="shared" ca="1" si="0"/>
        <v>0</v>
      </c>
      <c r="N15" s="170">
        <f t="shared" ca="1" si="1"/>
        <v>0</v>
      </c>
      <c r="O15" s="171">
        <f t="shared" ca="1" si="2"/>
        <v>0</v>
      </c>
      <c r="P15" s="172">
        <f t="shared" ca="1" si="3"/>
        <v>0</v>
      </c>
      <c r="Q15" s="173">
        <f t="shared" ca="1" si="4"/>
        <v>0</v>
      </c>
      <c r="R15" s="5"/>
      <c r="S15" s="5"/>
      <c r="T15" s="5"/>
      <c r="U15" s="5"/>
      <c r="AD15" s="5"/>
      <c r="AE15" s="5"/>
      <c r="AF15" s="5"/>
    </row>
    <row r="16" spans="1:32" ht="14.25" customHeight="1">
      <c r="A16" s="5"/>
      <c r="B16" s="5"/>
      <c r="C16" s="5"/>
      <c r="D16" s="5"/>
      <c r="E16" s="5"/>
      <c r="F16" s="5"/>
      <c r="G16" s="5"/>
      <c r="H16" s="5"/>
      <c r="I16" s="159" t="str">
        <f t="array" ref="I16">IFERROR(INDEX(list1,MATCH(0,COUNTIF($I$5:I15,list1)+IF(COUNTIF(list1,list1)&gt;1,0,1),0)),"")</f>
        <v/>
      </c>
      <c r="J16" s="168">
        <f ca="1">SUMIF(DailyAccomplishmentReport!$S$12:$S$27,Billing!I16,DailyAccomplishmentReport!$C$12:$C$26)</f>
        <v>0</v>
      </c>
      <c r="K16" s="161">
        <f ca="1">SUMIF(DailyAccomplishmentReport!$S$12:$S$27,Billing!I16,DailyAccomplishmentReport!$AP$12:$AP$26)</f>
        <v>0</v>
      </c>
      <c r="L16" s="162">
        <f ca="1">IFERROR(SUMIF(DailyAccomplishmentReport!$S$12:$S$27,Billing!I16,DailyAccomplishmentReport!$X$12:$X$26),0)</f>
        <v>0</v>
      </c>
      <c r="M16" s="169">
        <f t="shared" ca="1" si="0"/>
        <v>0</v>
      </c>
      <c r="N16" s="170">
        <f t="shared" ca="1" si="1"/>
        <v>0</v>
      </c>
      <c r="O16" s="171">
        <f t="shared" ca="1" si="2"/>
        <v>0</v>
      </c>
      <c r="P16" s="172">
        <f t="shared" ca="1" si="3"/>
        <v>0</v>
      </c>
      <c r="Q16" s="173">
        <f t="shared" ca="1" si="4"/>
        <v>0</v>
      </c>
      <c r="R16" s="5"/>
      <c r="S16" s="5"/>
      <c r="T16" s="5"/>
      <c r="U16" s="5"/>
      <c r="AD16" s="5"/>
      <c r="AE16" s="5"/>
      <c r="AF16" s="5"/>
    </row>
    <row r="17" spans="1:32" ht="14.25" customHeight="1">
      <c r="A17" s="5"/>
      <c r="B17" s="5"/>
      <c r="C17" s="5"/>
      <c r="D17" s="5"/>
      <c r="E17" s="5"/>
      <c r="F17" s="5"/>
      <c r="G17" s="5"/>
      <c r="H17" s="5"/>
      <c r="I17" s="159" t="str">
        <f t="array" ref="I17">IFERROR(INDEX(list1,MATCH(0,COUNTIF($I$5:I16,list1)+IF(COUNTIF(list1,list1)&gt;1,0,1),0)),"")</f>
        <v/>
      </c>
      <c r="J17" s="168">
        <f ca="1">SUMIF(DailyAccomplishmentReport!$S$12:$S$27,Billing!I17,DailyAccomplishmentReport!$C$12:$C$26)</f>
        <v>0</v>
      </c>
      <c r="K17" s="161">
        <f ca="1">SUMIF(DailyAccomplishmentReport!$S$12:$S$27,Billing!I17,DailyAccomplishmentReport!$AP$12:$AP$26)</f>
        <v>0</v>
      </c>
      <c r="L17" s="162">
        <f ca="1">IFERROR(SUMIF(DailyAccomplishmentReport!$S$12:$S$27,Billing!I17,DailyAccomplishmentReport!$X$12:$X$26),0)</f>
        <v>0</v>
      </c>
      <c r="M17" s="169">
        <f t="shared" ca="1" si="0"/>
        <v>0</v>
      </c>
      <c r="N17" s="170">
        <f t="shared" ca="1" si="1"/>
        <v>0</v>
      </c>
      <c r="O17" s="171">
        <f t="shared" ca="1" si="2"/>
        <v>0</v>
      </c>
      <c r="P17" s="172">
        <f t="shared" ca="1" si="3"/>
        <v>0</v>
      </c>
      <c r="Q17" s="173">
        <f t="shared" ca="1" si="4"/>
        <v>0</v>
      </c>
      <c r="R17" s="5"/>
      <c r="S17" s="5"/>
      <c r="T17" s="5"/>
      <c r="U17" s="5"/>
      <c r="AD17" s="5"/>
      <c r="AE17" s="5"/>
      <c r="AF17" s="5"/>
    </row>
    <row r="18" spans="1:32" ht="14.25" customHeight="1">
      <c r="A18" s="5"/>
      <c r="B18" s="5"/>
      <c r="C18" s="5"/>
      <c r="D18" s="5"/>
      <c r="E18" s="5"/>
      <c r="F18" s="5"/>
      <c r="G18" s="5"/>
      <c r="H18" s="5"/>
      <c r="I18" s="186" t="s">
        <v>69</v>
      </c>
      <c r="J18" s="187">
        <f t="shared" ref="J18:Q18" ca="1" si="5">SUM(J6:J17)</f>
        <v>69.83</v>
      </c>
      <c r="K18" s="187">
        <f t="shared" ca="1" si="5"/>
        <v>0</v>
      </c>
      <c r="L18" s="187">
        <f t="shared" ca="1" si="5"/>
        <v>0</v>
      </c>
      <c r="M18" s="187">
        <f t="shared" ca="1" si="5"/>
        <v>0</v>
      </c>
      <c r="N18" s="187">
        <f t="shared" ca="1" si="5"/>
        <v>0</v>
      </c>
      <c r="O18" s="187">
        <f t="shared" ca="1" si="5"/>
        <v>0</v>
      </c>
      <c r="P18" s="187">
        <f t="shared" ca="1" si="5"/>
        <v>0</v>
      </c>
      <c r="Q18" s="187">
        <f t="shared" ca="1" si="5"/>
        <v>0</v>
      </c>
      <c r="R18" s="5"/>
      <c r="S18" s="5"/>
      <c r="T18" s="5"/>
      <c r="U18" s="5"/>
      <c r="AD18" s="5"/>
      <c r="AE18" s="5"/>
      <c r="AF18" s="5"/>
    </row>
    <row r="19" spans="1:32" ht="14.25" customHeight="1">
      <c r="A19" s="5"/>
      <c r="B19" s="5"/>
      <c r="C19" s="5"/>
      <c r="D19" s="5"/>
      <c r="E19" s="5"/>
      <c r="F19" s="5"/>
      <c r="G19" s="5"/>
      <c r="H19" s="5"/>
      <c r="I19" s="188"/>
      <c r="J19" s="189"/>
      <c r="K19" s="189"/>
      <c r="L19" s="189"/>
      <c r="M19" s="190"/>
      <c r="N19" s="190"/>
      <c r="O19" s="190"/>
      <c r="P19" s="190"/>
      <c r="Q19" s="190"/>
      <c r="R19" s="5"/>
      <c r="S19" s="5"/>
      <c r="T19" s="5"/>
      <c r="U19" s="5"/>
      <c r="AD19" s="5"/>
      <c r="AE19" s="5"/>
      <c r="AF19" s="5"/>
    </row>
    <row r="20" spans="1:32" ht="14.25" customHeight="1">
      <c r="A20" s="5"/>
      <c r="B20" s="406" t="s">
        <v>42</v>
      </c>
      <c r="C20" s="396" t="s">
        <v>43</v>
      </c>
      <c r="D20" s="407"/>
      <c r="E20" s="396" t="s">
        <v>137</v>
      </c>
      <c r="F20" s="291"/>
      <c r="G20" s="397"/>
      <c r="H20" s="398" t="s">
        <v>152</v>
      </c>
      <c r="I20" s="399"/>
      <c r="J20" s="399"/>
      <c r="K20" s="399"/>
      <c r="L20" s="399"/>
      <c r="M20" s="399"/>
      <c r="N20" s="399"/>
      <c r="O20" s="399"/>
      <c r="P20" s="399"/>
      <c r="Q20" s="400"/>
      <c r="R20" s="5"/>
      <c r="S20" s="5">
        <v>0.12</v>
      </c>
      <c r="T20" s="5"/>
      <c r="U20" s="5"/>
      <c r="AD20" s="5"/>
      <c r="AE20" s="5"/>
      <c r="AF20" s="5"/>
    </row>
    <row r="21" spans="1:32" ht="14.25" customHeight="1">
      <c r="A21" s="5"/>
      <c r="B21" s="336"/>
      <c r="C21" s="191" t="s">
        <v>63</v>
      </c>
      <c r="D21" s="192" t="s">
        <v>112</v>
      </c>
      <c r="E21" s="193" t="s">
        <v>63</v>
      </c>
      <c r="F21" s="194" t="s">
        <v>112</v>
      </c>
      <c r="G21" s="195" t="s">
        <v>69</v>
      </c>
      <c r="H21" s="401"/>
      <c r="I21" s="348"/>
      <c r="J21" s="348"/>
      <c r="K21" s="348"/>
      <c r="L21" s="348"/>
      <c r="M21" s="348"/>
      <c r="N21" s="348"/>
      <c r="O21" s="348"/>
      <c r="P21" s="348"/>
      <c r="Q21" s="370"/>
      <c r="R21" s="5"/>
      <c r="S21" s="5"/>
      <c r="T21" s="5"/>
      <c r="U21" s="5"/>
      <c r="AD21" s="5"/>
      <c r="AE21" s="5"/>
      <c r="AF21" s="5"/>
    </row>
    <row r="22" spans="1:32" ht="14.25" customHeight="1">
      <c r="A22" s="5"/>
      <c r="B22" s="196" t="str">
        <f>D9</f>
        <v>11/16/25</v>
      </c>
      <c r="C22" s="45">
        <f>SUMIF(DailyAccomplishmentReport!$B$12:$B$26,Billing!B22,DailyAccomplishmentReport!$C$12:$C$26)</f>
        <v>0</v>
      </c>
      <c r="D22" s="45">
        <f>SUMIF(DailyAccomplishmentReport!$B$12:$B$26,Billing!B22,DailyAccomplishmentReport!$AP$12:$AP$26)</f>
        <v>0</v>
      </c>
      <c r="E22" s="197">
        <f t="shared" ref="E22:E52" si="6">$E$10*C22</f>
        <v>0</v>
      </c>
      <c r="F22" s="197">
        <f t="shared" ref="F22:F52" si="7">IFERROR($E$10*S22*D22,0)</f>
        <v>0</v>
      </c>
      <c r="G22" s="197">
        <f t="shared" ref="G22:G52" si="8">F22+E22</f>
        <v>0</v>
      </c>
      <c r="H22" s="402"/>
      <c r="I22" s="291"/>
      <c r="J22" s="291"/>
      <c r="K22" s="291"/>
      <c r="L22" s="291"/>
      <c r="M22" s="291"/>
      <c r="N22" s="291"/>
      <c r="O22" s="291"/>
      <c r="P22" s="291"/>
      <c r="Q22" s="292"/>
      <c r="R22" s="5"/>
      <c r="S22" s="70" t="e">
        <f>VLOOKUP(T22,Ref!$C$3:$D$14,2,FALSE)</f>
        <v>#N/A</v>
      </c>
      <c r="T22" s="5" t="e">
        <f>VLOOKUP(B22,Ref!$F$3:$H$367,3,FALSE)</f>
        <v>#N/A</v>
      </c>
      <c r="U22" s="5">
        <f>SUMIF(DailyAccomplishmentReport!$B$12:$B$43,Billing!B22,DailyAccomplishmentReport!$C$12:$C$43)</f>
        <v>0</v>
      </c>
      <c r="AD22" s="5"/>
      <c r="AE22" s="5"/>
      <c r="AF22" s="5"/>
    </row>
    <row r="23" spans="1:32" ht="14.25" customHeight="1">
      <c r="A23" s="5"/>
      <c r="B23" s="198" t="e">
        <f t="shared" ref="B23:B52" si="9">B22+1</f>
        <v>#VALUE!</v>
      </c>
      <c r="C23" s="51">
        <f>SUMIF(DailyAccomplishmentReport!$B$12:$B$26,Billing!B23,DailyAccomplishmentReport!$C$12:$C$26)</f>
        <v>0</v>
      </c>
      <c r="D23" s="51">
        <f>SUMIF(DailyAccomplishmentReport!$B$12:$B$26,Billing!B23,DailyAccomplishmentReport!$AP$12:$AP$26)</f>
        <v>0</v>
      </c>
      <c r="E23" s="170">
        <f t="shared" si="6"/>
        <v>0</v>
      </c>
      <c r="F23" s="170">
        <f t="shared" si="7"/>
        <v>0</v>
      </c>
      <c r="G23" s="170">
        <f t="shared" si="8"/>
        <v>0</v>
      </c>
      <c r="H23" s="395"/>
      <c r="I23" s="294"/>
      <c r="J23" s="294"/>
      <c r="K23" s="294"/>
      <c r="L23" s="294"/>
      <c r="M23" s="294"/>
      <c r="N23" s="294"/>
      <c r="O23" s="294"/>
      <c r="P23" s="294"/>
      <c r="Q23" s="295"/>
      <c r="R23" s="5"/>
      <c r="S23" s="70" t="e">
        <f>VLOOKUP(T23,Ref!$C$3:$D$14,2,FALSE)</f>
        <v>#VALUE!</v>
      </c>
      <c r="T23" s="5" t="e">
        <f>VLOOKUP(B23,Ref!$F$3:$H$367,3,FALSE)</f>
        <v>#VALUE!</v>
      </c>
      <c r="U23" s="5">
        <f>SUMIF(DailyAccomplishmentReport!$B$12:$B$43,Billing!B23,DailyAccomplishmentReport!$C$12:$C$43)</f>
        <v>0</v>
      </c>
      <c r="AD23" s="5"/>
      <c r="AE23" s="5"/>
      <c r="AF23" s="5"/>
    </row>
    <row r="24" spans="1:32" ht="14.25" customHeight="1">
      <c r="A24" s="5"/>
      <c r="B24" s="198" t="e">
        <f t="shared" si="9"/>
        <v>#VALUE!</v>
      </c>
      <c r="C24" s="51">
        <f>SUMIF(DailyAccomplishmentReport!$B$12:$B$26,Billing!B24,DailyAccomplishmentReport!$C$12:$C$26)</f>
        <v>0</v>
      </c>
      <c r="D24" s="51">
        <f>SUMIF(DailyAccomplishmentReport!$B$12:$B$26,Billing!B24,DailyAccomplishmentReport!$AP$12:$AP$26)</f>
        <v>0</v>
      </c>
      <c r="E24" s="170">
        <f t="shared" si="6"/>
        <v>0</v>
      </c>
      <c r="F24" s="170">
        <f t="shared" si="7"/>
        <v>0</v>
      </c>
      <c r="G24" s="170">
        <f t="shared" si="8"/>
        <v>0</v>
      </c>
      <c r="H24" s="395"/>
      <c r="I24" s="294"/>
      <c r="J24" s="294"/>
      <c r="K24" s="294"/>
      <c r="L24" s="294"/>
      <c r="M24" s="294"/>
      <c r="N24" s="294"/>
      <c r="O24" s="294"/>
      <c r="P24" s="294"/>
      <c r="Q24" s="295"/>
      <c r="R24" s="5"/>
      <c r="S24" s="70" t="e">
        <f>VLOOKUP(T24,Ref!$C$3:$D$14,2,FALSE)</f>
        <v>#VALUE!</v>
      </c>
      <c r="T24" s="5" t="e">
        <f>VLOOKUP(B24,Ref!$F$3:$H$367,3,FALSE)</f>
        <v>#VALUE!</v>
      </c>
      <c r="U24" s="5">
        <f>SUMIF(DailyAccomplishmentReport!$B$12:$B$43,Billing!B24,DailyAccomplishmentReport!$C$12:$C$43)</f>
        <v>0</v>
      </c>
      <c r="AD24" s="5"/>
      <c r="AE24" s="5"/>
      <c r="AF24" s="5"/>
    </row>
    <row r="25" spans="1:32" ht="14.25" customHeight="1">
      <c r="A25" s="5"/>
      <c r="B25" s="198" t="e">
        <f t="shared" si="9"/>
        <v>#VALUE!</v>
      </c>
      <c r="C25" s="51">
        <f>SUMIF(DailyAccomplishmentReport!$B$12:$B$26,Billing!B25,DailyAccomplishmentReport!$C$12:$C$26)</f>
        <v>0</v>
      </c>
      <c r="D25" s="51">
        <f>SUMIF(DailyAccomplishmentReport!$B$12:$B$26,Billing!B25,DailyAccomplishmentReport!$AP$12:$AP$26)</f>
        <v>0</v>
      </c>
      <c r="E25" s="170">
        <f t="shared" si="6"/>
        <v>0</v>
      </c>
      <c r="F25" s="170">
        <f t="shared" si="7"/>
        <v>0</v>
      </c>
      <c r="G25" s="170">
        <f t="shared" si="8"/>
        <v>0</v>
      </c>
      <c r="H25" s="395"/>
      <c r="I25" s="294"/>
      <c r="J25" s="294"/>
      <c r="K25" s="294"/>
      <c r="L25" s="294"/>
      <c r="M25" s="294"/>
      <c r="N25" s="294"/>
      <c r="O25" s="294"/>
      <c r="P25" s="294"/>
      <c r="Q25" s="295"/>
      <c r="R25" s="5"/>
      <c r="S25" s="70" t="e">
        <f>VLOOKUP(T25,Ref!$C$3:$D$14,2,FALSE)</f>
        <v>#VALUE!</v>
      </c>
      <c r="T25" s="5" t="e">
        <f>VLOOKUP(B25,Ref!$F$3:$H$367,3,FALSE)</f>
        <v>#VALUE!</v>
      </c>
      <c r="U25" s="5">
        <f>SUMIF(DailyAccomplishmentReport!$B$12:$B$43,Billing!B25,DailyAccomplishmentReport!$C$12:$C$43)</f>
        <v>0</v>
      </c>
      <c r="AD25" s="5"/>
      <c r="AE25" s="5"/>
      <c r="AF25" s="5"/>
    </row>
    <row r="26" spans="1:32" ht="14.25" customHeight="1">
      <c r="A26" s="5"/>
      <c r="B26" s="198" t="e">
        <f t="shared" si="9"/>
        <v>#VALUE!</v>
      </c>
      <c r="C26" s="51">
        <f>SUMIF(DailyAccomplishmentReport!$B$12:$B$26,Billing!B26,DailyAccomplishmentReport!$C$12:$C$26)</f>
        <v>0</v>
      </c>
      <c r="D26" s="51">
        <f>SUMIF(DailyAccomplishmentReport!$B$12:$B$26,Billing!B26,DailyAccomplishmentReport!$AP$12:$AP$26)</f>
        <v>0</v>
      </c>
      <c r="E26" s="170">
        <f t="shared" si="6"/>
        <v>0</v>
      </c>
      <c r="F26" s="170">
        <f t="shared" si="7"/>
        <v>0</v>
      </c>
      <c r="G26" s="170">
        <f t="shared" si="8"/>
        <v>0</v>
      </c>
      <c r="H26" s="395"/>
      <c r="I26" s="294"/>
      <c r="J26" s="294"/>
      <c r="K26" s="294"/>
      <c r="L26" s="294"/>
      <c r="M26" s="294"/>
      <c r="N26" s="294"/>
      <c r="O26" s="294"/>
      <c r="P26" s="294"/>
      <c r="Q26" s="295"/>
      <c r="R26" s="5"/>
      <c r="S26" s="70" t="e">
        <f>VLOOKUP(T26,Ref!$C$3:$D$14,2,FALSE)</f>
        <v>#VALUE!</v>
      </c>
      <c r="T26" s="5" t="e">
        <f>VLOOKUP(B26,Ref!$F$3:$H$367,3,FALSE)</f>
        <v>#VALUE!</v>
      </c>
      <c r="U26" s="5">
        <f>SUMIF(DailyAccomplishmentReport!$B$12:$B$43,Billing!B26,DailyAccomplishmentReport!$C$12:$C$43)</f>
        <v>0</v>
      </c>
      <c r="AD26" s="5"/>
      <c r="AE26" s="5"/>
      <c r="AF26" s="5"/>
    </row>
    <row r="27" spans="1:32" ht="14.25" customHeight="1">
      <c r="A27" s="5"/>
      <c r="B27" s="198" t="e">
        <f t="shared" si="9"/>
        <v>#VALUE!</v>
      </c>
      <c r="C27" s="51">
        <f>SUMIF(DailyAccomplishmentReport!$B$12:$B$26,Billing!B27,DailyAccomplishmentReport!$C$12:$C$26)</f>
        <v>0</v>
      </c>
      <c r="D27" s="51">
        <f>SUMIF(DailyAccomplishmentReport!$B$12:$B$26,Billing!B27,DailyAccomplishmentReport!$AP$12:$AP$26)</f>
        <v>0</v>
      </c>
      <c r="E27" s="170">
        <f t="shared" si="6"/>
        <v>0</v>
      </c>
      <c r="F27" s="170">
        <f t="shared" si="7"/>
        <v>0</v>
      </c>
      <c r="G27" s="170">
        <f t="shared" si="8"/>
        <v>0</v>
      </c>
      <c r="H27" s="395"/>
      <c r="I27" s="294"/>
      <c r="J27" s="294"/>
      <c r="K27" s="294"/>
      <c r="L27" s="294"/>
      <c r="M27" s="294"/>
      <c r="N27" s="294"/>
      <c r="O27" s="294"/>
      <c r="P27" s="294"/>
      <c r="Q27" s="295"/>
      <c r="R27" s="5"/>
      <c r="S27" s="70" t="e">
        <f>VLOOKUP(T27,Ref!$C$3:$D$14,2,FALSE)</f>
        <v>#VALUE!</v>
      </c>
      <c r="T27" s="5" t="e">
        <f>VLOOKUP(B27,Ref!$F$3:$H$367,3,FALSE)</f>
        <v>#VALUE!</v>
      </c>
      <c r="U27" s="5">
        <f>SUMIF(DailyAccomplishmentReport!$B$12:$B$43,Billing!B27,DailyAccomplishmentReport!$C$12:$C$43)</f>
        <v>0</v>
      </c>
      <c r="AD27" s="5"/>
      <c r="AE27" s="5"/>
      <c r="AF27" s="5"/>
    </row>
    <row r="28" spans="1:32" ht="14.25" customHeight="1">
      <c r="A28" s="5"/>
      <c r="B28" s="198" t="e">
        <f t="shared" si="9"/>
        <v>#VALUE!</v>
      </c>
      <c r="C28" s="51">
        <f>SUMIF(DailyAccomplishmentReport!$B$12:$B$26,Billing!B28,DailyAccomplishmentReport!$C$12:$C$26)</f>
        <v>0</v>
      </c>
      <c r="D28" s="51">
        <f>SUMIF(DailyAccomplishmentReport!$B$12:$B$26,Billing!B28,DailyAccomplishmentReport!$AP$12:$AP$26)</f>
        <v>0</v>
      </c>
      <c r="E28" s="170">
        <f t="shared" si="6"/>
        <v>0</v>
      </c>
      <c r="F28" s="170">
        <f t="shared" si="7"/>
        <v>0</v>
      </c>
      <c r="G28" s="170">
        <f t="shared" si="8"/>
        <v>0</v>
      </c>
      <c r="H28" s="395"/>
      <c r="I28" s="294"/>
      <c r="J28" s="294"/>
      <c r="K28" s="294"/>
      <c r="L28" s="294"/>
      <c r="M28" s="294"/>
      <c r="N28" s="294"/>
      <c r="O28" s="294"/>
      <c r="P28" s="294"/>
      <c r="Q28" s="295"/>
      <c r="R28" s="5"/>
      <c r="S28" s="70" t="e">
        <f>VLOOKUP(T28,Ref!$C$3:$D$14,2,FALSE)</f>
        <v>#VALUE!</v>
      </c>
      <c r="T28" s="5" t="e">
        <f>VLOOKUP(B28,Ref!$F$3:$H$367,3,FALSE)</f>
        <v>#VALUE!</v>
      </c>
      <c r="U28" s="5">
        <f>SUMIF(DailyAccomplishmentReport!$B$12:$B$43,Billing!B28,DailyAccomplishmentReport!$C$12:$C$43)</f>
        <v>0</v>
      </c>
      <c r="AD28" s="5"/>
      <c r="AE28" s="5"/>
      <c r="AF28" s="5"/>
    </row>
    <row r="29" spans="1:32" ht="14.25" customHeight="1">
      <c r="A29" s="5"/>
      <c r="B29" s="198" t="e">
        <f t="shared" si="9"/>
        <v>#VALUE!</v>
      </c>
      <c r="C29" s="51">
        <f>SUMIF(DailyAccomplishmentReport!$B$12:$B$26,Billing!B29,DailyAccomplishmentReport!$C$12:$C$26)</f>
        <v>0</v>
      </c>
      <c r="D29" s="51">
        <f>SUMIF(DailyAccomplishmentReport!$B$12:$B$26,Billing!B29,DailyAccomplishmentReport!$AP$12:$AP$26)</f>
        <v>0</v>
      </c>
      <c r="E29" s="170">
        <f t="shared" si="6"/>
        <v>0</v>
      </c>
      <c r="F29" s="170">
        <f t="shared" si="7"/>
        <v>0</v>
      </c>
      <c r="G29" s="170">
        <f t="shared" si="8"/>
        <v>0</v>
      </c>
      <c r="H29" s="395"/>
      <c r="I29" s="294"/>
      <c r="J29" s="294"/>
      <c r="K29" s="294"/>
      <c r="L29" s="294"/>
      <c r="M29" s="294"/>
      <c r="N29" s="294"/>
      <c r="O29" s="294"/>
      <c r="P29" s="294"/>
      <c r="Q29" s="295"/>
      <c r="R29" s="5"/>
      <c r="S29" s="70" t="e">
        <f>VLOOKUP(T29,Ref!$C$3:$D$14,2,FALSE)</f>
        <v>#VALUE!</v>
      </c>
      <c r="T29" s="5" t="e">
        <f>VLOOKUP(B29,Ref!$F$3:$H$367,3,FALSE)</f>
        <v>#VALUE!</v>
      </c>
      <c r="U29" s="5">
        <f>SUMIF(DailyAccomplishmentReport!$B$12:$B$43,Billing!B29,DailyAccomplishmentReport!$C$12:$C$43)</f>
        <v>0</v>
      </c>
      <c r="AD29" s="5"/>
      <c r="AE29" s="5"/>
      <c r="AF29" s="5"/>
    </row>
    <row r="30" spans="1:32" ht="14.25" customHeight="1">
      <c r="A30" s="5"/>
      <c r="B30" s="198" t="e">
        <f t="shared" si="9"/>
        <v>#VALUE!</v>
      </c>
      <c r="C30" s="51">
        <f>SUMIF(DailyAccomplishmentReport!$B$12:$B$26,Billing!B30,DailyAccomplishmentReport!$C$12:$C$26)</f>
        <v>0</v>
      </c>
      <c r="D30" s="51">
        <f>SUMIF(DailyAccomplishmentReport!$B$12:$B$26,Billing!B30,DailyAccomplishmentReport!$AP$12:$AP$26)</f>
        <v>0</v>
      </c>
      <c r="E30" s="170">
        <f t="shared" si="6"/>
        <v>0</v>
      </c>
      <c r="F30" s="170">
        <f t="shared" si="7"/>
        <v>0</v>
      </c>
      <c r="G30" s="170">
        <f t="shared" si="8"/>
        <v>0</v>
      </c>
      <c r="H30" s="395"/>
      <c r="I30" s="294"/>
      <c r="J30" s="294"/>
      <c r="K30" s="294"/>
      <c r="L30" s="294"/>
      <c r="M30" s="294"/>
      <c r="N30" s="294"/>
      <c r="O30" s="294"/>
      <c r="P30" s="294"/>
      <c r="Q30" s="295"/>
      <c r="R30" s="5"/>
      <c r="S30" s="70" t="e">
        <f>VLOOKUP(T30,Ref!$C$3:$D$14,2,FALSE)</f>
        <v>#VALUE!</v>
      </c>
      <c r="T30" s="5" t="e">
        <f>VLOOKUP(B30,Ref!$F$3:$H$367,3,FALSE)</f>
        <v>#VALUE!</v>
      </c>
      <c r="U30" s="5">
        <f>SUMIF(DailyAccomplishmentReport!$B$12:$B$43,Billing!B30,DailyAccomplishmentReport!$C$12:$C$43)</f>
        <v>0</v>
      </c>
      <c r="V30" s="199"/>
      <c r="W30" s="199"/>
      <c r="X30" s="199"/>
      <c r="Y30" s="199"/>
      <c r="Z30" s="199"/>
      <c r="AA30" s="199"/>
      <c r="AB30" s="199"/>
      <c r="AC30" s="199"/>
      <c r="AD30" s="5"/>
      <c r="AE30" s="5"/>
      <c r="AF30" s="5"/>
    </row>
    <row r="31" spans="1:32" ht="14.25" customHeight="1">
      <c r="A31" s="5"/>
      <c r="B31" s="198" t="e">
        <f t="shared" si="9"/>
        <v>#VALUE!</v>
      </c>
      <c r="C31" s="51">
        <f>SUMIF(DailyAccomplishmentReport!$B$12:$B$26,Billing!B31,DailyAccomplishmentReport!$C$12:$C$26)</f>
        <v>0</v>
      </c>
      <c r="D31" s="51">
        <f>SUMIF(DailyAccomplishmentReport!$B$12:$B$26,Billing!B31,DailyAccomplishmentReport!$AP$12:$AP$26)</f>
        <v>0</v>
      </c>
      <c r="E31" s="170">
        <f t="shared" si="6"/>
        <v>0</v>
      </c>
      <c r="F31" s="170">
        <f t="shared" si="7"/>
        <v>0</v>
      </c>
      <c r="G31" s="170">
        <f t="shared" si="8"/>
        <v>0</v>
      </c>
      <c r="H31" s="395"/>
      <c r="I31" s="294"/>
      <c r="J31" s="294"/>
      <c r="K31" s="294"/>
      <c r="L31" s="294"/>
      <c r="M31" s="294"/>
      <c r="N31" s="294"/>
      <c r="O31" s="294"/>
      <c r="P31" s="294"/>
      <c r="Q31" s="295"/>
      <c r="R31" s="5"/>
      <c r="S31" s="70" t="e">
        <f>VLOOKUP(T31,Ref!$C$3:$D$14,2,FALSE)</f>
        <v>#VALUE!</v>
      </c>
      <c r="T31" s="5" t="e">
        <f>VLOOKUP(B31,Ref!$F$3:$H$367,3,FALSE)</f>
        <v>#VALUE!</v>
      </c>
      <c r="U31" s="5">
        <f>SUMIF(DailyAccomplishmentReport!$B$12:$B$43,Billing!B31,DailyAccomplishmentReport!$C$12:$C$43)</f>
        <v>0</v>
      </c>
      <c r="V31" s="199"/>
      <c r="W31" s="199"/>
      <c r="X31" s="199"/>
      <c r="Y31" s="199"/>
      <c r="Z31" s="199"/>
      <c r="AA31" s="199"/>
      <c r="AB31" s="199"/>
      <c r="AC31" s="199"/>
      <c r="AD31" s="5"/>
      <c r="AE31" s="5"/>
      <c r="AF31" s="5"/>
    </row>
    <row r="32" spans="1:32" ht="14.25" customHeight="1">
      <c r="A32" s="5"/>
      <c r="B32" s="198" t="e">
        <f t="shared" si="9"/>
        <v>#VALUE!</v>
      </c>
      <c r="C32" s="51">
        <f>SUMIF(DailyAccomplishmentReport!$B$12:$B$26,Billing!B32,DailyAccomplishmentReport!$C$12:$C$26)</f>
        <v>0</v>
      </c>
      <c r="D32" s="51">
        <f>SUMIF(DailyAccomplishmentReport!$B$12:$B$26,Billing!B32,DailyAccomplishmentReport!$AP$12:$AP$26)</f>
        <v>0</v>
      </c>
      <c r="E32" s="170">
        <f t="shared" si="6"/>
        <v>0</v>
      </c>
      <c r="F32" s="170">
        <f t="shared" si="7"/>
        <v>0</v>
      </c>
      <c r="G32" s="170">
        <f t="shared" si="8"/>
        <v>0</v>
      </c>
      <c r="H32" s="395"/>
      <c r="I32" s="294"/>
      <c r="J32" s="294"/>
      <c r="K32" s="294"/>
      <c r="L32" s="294"/>
      <c r="M32" s="294"/>
      <c r="N32" s="294"/>
      <c r="O32" s="294"/>
      <c r="P32" s="294"/>
      <c r="Q32" s="295"/>
      <c r="R32" s="5"/>
      <c r="S32" s="70" t="e">
        <f>VLOOKUP(T32,Ref!$C$3:$D$14,2,FALSE)</f>
        <v>#VALUE!</v>
      </c>
      <c r="T32" s="5" t="e">
        <f>VLOOKUP(B32,Ref!$F$3:$H$367,3,FALSE)</f>
        <v>#VALUE!</v>
      </c>
      <c r="U32" s="5">
        <f>SUMIF(DailyAccomplishmentReport!$B$12:$B$43,Billing!B32,DailyAccomplishmentReport!$C$12:$C$43)</f>
        <v>0</v>
      </c>
      <c r="V32" s="199"/>
      <c r="W32" s="199"/>
      <c r="X32" s="199"/>
      <c r="Y32" s="199"/>
      <c r="Z32" s="199"/>
      <c r="AA32" s="199"/>
      <c r="AB32" s="199"/>
      <c r="AC32" s="199"/>
      <c r="AD32" s="5"/>
      <c r="AE32" s="5"/>
      <c r="AF32" s="5"/>
    </row>
    <row r="33" spans="1:32" ht="14.25" customHeight="1">
      <c r="A33" s="5"/>
      <c r="B33" s="198" t="e">
        <f t="shared" si="9"/>
        <v>#VALUE!</v>
      </c>
      <c r="C33" s="51">
        <f>SUMIF(DailyAccomplishmentReport!$B$12:$B$26,Billing!B33,DailyAccomplishmentReport!$C$12:$C$26)</f>
        <v>0</v>
      </c>
      <c r="D33" s="51">
        <f>SUMIF(DailyAccomplishmentReport!$B$12:$B$26,Billing!B33,DailyAccomplishmentReport!$AP$12:$AP$26)</f>
        <v>0</v>
      </c>
      <c r="E33" s="170">
        <f t="shared" si="6"/>
        <v>0</v>
      </c>
      <c r="F33" s="170">
        <f t="shared" si="7"/>
        <v>0</v>
      </c>
      <c r="G33" s="170">
        <f t="shared" si="8"/>
        <v>0</v>
      </c>
      <c r="H33" s="395"/>
      <c r="I33" s="294"/>
      <c r="J33" s="294"/>
      <c r="K33" s="294"/>
      <c r="L33" s="294"/>
      <c r="M33" s="294"/>
      <c r="N33" s="294"/>
      <c r="O33" s="294"/>
      <c r="P33" s="294"/>
      <c r="Q33" s="295"/>
      <c r="R33" s="5"/>
      <c r="S33" s="70" t="e">
        <f>VLOOKUP(T33,Ref!$C$3:$D$14,2,FALSE)</f>
        <v>#VALUE!</v>
      </c>
      <c r="T33" s="5" t="e">
        <f>VLOOKUP(B33,Ref!$F$3:$H$367,3,FALSE)</f>
        <v>#VALUE!</v>
      </c>
      <c r="U33" s="5">
        <f>SUMIF(DailyAccomplishmentReport!$B$12:$B$43,Billing!B33,DailyAccomplishmentReport!$C$12:$C$43)</f>
        <v>0</v>
      </c>
      <c r="V33" s="199"/>
      <c r="W33" s="199"/>
      <c r="X33" s="199"/>
      <c r="Y33" s="199"/>
      <c r="Z33" s="199"/>
      <c r="AA33" s="199"/>
      <c r="AB33" s="199"/>
      <c r="AC33" s="199"/>
      <c r="AD33" s="5"/>
      <c r="AE33" s="5"/>
      <c r="AF33" s="5"/>
    </row>
    <row r="34" spans="1:32" ht="14.25" customHeight="1">
      <c r="A34" s="5"/>
      <c r="B34" s="198" t="e">
        <f t="shared" si="9"/>
        <v>#VALUE!</v>
      </c>
      <c r="C34" s="51">
        <f>SUMIF(DailyAccomplishmentReport!$B$12:$B$26,Billing!B34,DailyAccomplishmentReport!$C$12:$C$26)</f>
        <v>0</v>
      </c>
      <c r="D34" s="51">
        <f>SUMIF(DailyAccomplishmentReport!$B$12:$B$26,Billing!B34,DailyAccomplishmentReport!$AP$12:$AP$26)</f>
        <v>0</v>
      </c>
      <c r="E34" s="170">
        <f t="shared" si="6"/>
        <v>0</v>
      </c>
      <c r="F34" s="170">
        <f t="shared" si="7"/>
        <v>0</v>
      </c>
      <c r="G34" s="170">
        <f t="shared" si="8"/>
        <v>0</v>
      </c>
      <c r="H34" s="395"/>
      <c r="I34" s="294"/>
      <c r="J34" s="294"/>
      <c r="K34" s="294"/>
      <c r="L34" s="294"/>
      <c r="M34" s="294"/>
      <c r="N34" s="294"/>
      <c r="O34" s="294"/>
      <c r="P34" s="294"/>
      <c r="Q34" s="295"/>
      <c r="R34" s="5"/>
      <c r="S34" s="70" t="e">
        <f>VLOOKUP(T34,Ref!$C$3:$D$14,2,FALSE)</f>
        <v>#VALUE!</v>
      </c>
      <c r="T34" s="5" t="e">
        <f>VLOOKUP(B34,Ref!$F$3:$H$367,3,FALSE)</f>
        <v>#VALUE!</v>
      </c>
      <c r="U34" s="5">
        <f>SUMIF(DailyAccomplishmentReport!$B$12:$B$43,Billing!B34,DailyAccomplishmentReport!$C$12:$C$43)</f>
        <v>0</v>
      </c>
      <c r="V34" s="199"/>
      <c r="W34" s="199"/>
      <c r="X34" s="199"/>
      <c r="Y34" s="199"/>
      <c r="Z34" s="199"/>
      <c r="AA34" s="199"/>
      <c r="AB34" s="199"/>
      <c r="AC34" s="199"/>
      <c r="AD34" s="5"/>
      <c r="AE34" s="5"/>
      <c r="AF34" s="5"/>
    </row>
    <row r="35" spans="1:32" ht="14.25" customHeight="1">
      <c r="A35" s="5"/>
      <c r="B35" s="198" t="e">
        <f t="shared" si="9"/>
        <v>#VALUE!</v>
      </c>
      <c r="C35" s="51">
        <f>SUMIF(DailyAccomplishmentReport!$B$12:$B$26,Billing!B35,DailyAccomplishmentReport!$C$12:$C$26)</f>
        <v>0</v>
      </c>
      <c r="D35" s="51">
        <f>SUMIF(DailyAccomplishmentReport!$B$12:$B$26,Billing!B35,DailyAccomplishmentReport!$AP$12:$AP$26)</f>
        <v>0</v>
      </c>
      <c r="E35" s="170">
        <f t="shared" si="6"/>
        <v>0</v>
      </c>
      <c r="F35" s="170">
        <f t="shared" si="7"/>
        <v>0</v>
      </c>
      <c r="G35" s="170">
        <f t="shared" si="8"/>
        <v>0</v>
      </c>
      <c r="H35" s="395"/>
      <c r="I35" s="294"/>
      <c r="J35" s="294"/>
      <c r="K35" s="294"/>
      <c r="L35" s="294"/>
      <c r="M35" s="294"/>
      <c r="N35" s="294"/>
      <c r="O35" s="294"/>
      <c r="P35" s="294"/>
      <c r="Q35" s="295"/>
      <c r="R35" s="5"/>
      <c r="S35" s="70" t="e">
        <f>VLOOKUP(T35,Ref!$C$3:$D$14,2,FALSE)</f>
        <v>#VALUE!</v>
      </c>
      <c r="T35" s="5" t="e">
        <f>VLOOKUP(B35,Ref!$F$3:$H$367,3,FALSE)</f>
        <v>#VALUE!</v>
      </c>
      <c r="U35" s="5">
        <f>SUMIF(DailyAccomplishmentReport!$B$12:$B$43,Billing!B35,DailyAccomplishmentReport!$C$12:$C$43)</f>
        <v>0</v>
      </c>
      <c r="V35" s="199"/>
      <c r="W35" s="199"/>
      <c r="X35" s="199"/>
      <c r="Y35" s="199"/>
      <c r="Z35" s="199"/>
      <c r="AA35" s="199"/>
      <c r="AB35" s="199"/>
      <c r="AC35" s="199"/>
      <c r="AD35" s="5"/>
      <c r="AE35" s="5"/>
      <c r="AF35" s="5"/>
    </row>
    <row r="36" spans="1:32" ht="14.25" customHeight="1">
      <c r="A36" s="5"/>
      <c r="B36" s="198" t="e">
        <f t="shared" si="9"/>
        <v>#VALUE!</v>
      </c>
      <c r="C36" s="51">
        <f>SUMIF(DailyAccomplishmentReport!$B$12:$B$26,Billing!B36,DailyAccomplishmentReport!$C$12:$C$26)</f>
        <v>0</v>
      </c>
      <c r="D36" s="51">
        <f>SUMIF(DailyAccomplishmentReport!$B$12:$B$26,Billing!B36,DailyAccomplishmentReport!$AP$12:$AP$26)</f>
        <v>0</v>
      </c>
      <c r="E36" s="170">
        <f t="shared" si="6"/>
        <v>0</v>
      </c>
      <c r="F36" s="170">
        <f t="shared" si="7"/>
        <v>0</v>
      </c>
      <c r="G36" s="170">
        <f t="shared" si="8"/>
        <v>0</v>
      </c>
      <c r="H36" s="395"/>
      <c r="I36" s="294"/>
      <c r="J36" s="294"/>
      <c r="K36" s="294"/>
      <c r="L36" s="294"/>
      <c r="M36" s="294"/>
      <c r="N36" s="294"/>
      <c r="O36" s="294"/>
      <c r="P36" s="294"/>
      <c r="Q36" s="295"/>
      <c r="R36" s="5"/>
      <c r="S36" s="70" t="e">
        <f>VLOOKUP(T36,Ref!$C$3:$D$14,2,FALSE)</f>
        <v>#VALUE!</v>
      </c>
      <c r="T36" s="5" t="e">
        <f>VLOOKUP(B36,Ref!$F$3:$H$367,3,FALSE)</f>
        <v>#VALUE!</v>
      </c>
      <c r="U36" s="5">
        <f>SUMIF(DailyAccomplishmentReport!$B$12:$B$43,Billing!B36,DailyAccomplishmentReport!$C$12:$C$43)</f>
        <v>0</v>
      </c>
      <c r="V36" s="199"/>
      <c r="W36" s="199"/>
      <c r="X36" s="199"/>
      <c r="Y36" s="199"/>
      <c r="Z36" s="199"/>
      <c r="AA36" s="199"/>
      <c r="AB36" s="199"/>
      <c r="AC36" s="199"/>
      <c r="AD36" s="5"/>
      <c r="AE36" s="5"/>
      <c r="AF36" s="5"/>
    </row>
    <row r="37" spans="1:32" ht="14.25" customHeight="1">
      <c r="A37" s="5"/>
      <c r="B37" s="198" t="e">
        <f t="shared" si="9"/>
        <v>#VALUE!</v>
      </c>
      <c r="C37" s="51">
        <f>SUMIF(DailyAccomplishmentReport!$B$12:$B$26,Billing!B37,DailyAccomplishmentReport!$C$12:$C$26)</f>
        <v>0</v>
      </c>
      <c r="D37" s="200">
        <f>SUMIF(DailyAccomplishmentReport!$B$12:$B$26,Billing!B37,DailyAccomplishmentReport!$AP$12:$AP$26)</f>
        <v>0</v>
      </c>
      <c r="E37" s="170">
        <f t="shared" si="6"/>
        <v>0</v>
      </c>
      <c r="F37" s="170">
        <f t="shared" si="7"/>
        <v>0</v>
      </c>
      <c r="G37" s="170">
        <f t="shared" si="8"/>
        <v>0</v>
      </c>
      <c r="H37" s="395"/>
      <c r="I37" s="294"/>
      <c r="J37" s="294"/>
      <c r="K37" s="294"/>
      <c r="L37" s="294"/>
      <c r="M37" s="294"/>
      <c r="N37" s="294"/>
      <c r="O37" s="294"/>
      <c r="P37" s="294"/>
      <c r="Q37" s="295"/>
      <c r="R37" s="5"/>
      <c r="S37" s="70" t="e">
        <f>VLOOKUP(T37,Ref!$C$3:$D$14,2,FALSE)</f>
        <v>#VALUE!</v>
      </c>
      <c r="T37" s="5" t="e">
        <f>VLOOKUP(B37,Ref!$F$3:$H$367,3,FALSE)</f>
        <v>#VALUE!</v>
      </c>
      <c r="U37" s="5">
        <f>SUMIF(DailyAccomplishmentReport!$B$12:$B$43,Billing!B37,DailyAccomplishmentReport!$C$12:$C$43)</f>
        <v>0</v>
      </c>
      <c r="V37" s="199"/>
      <c r="W37" s="199"/>
      <c r="X37" s="199"/>
      <c r="Y37" s="199"/>
      <c r="Z37" s="199"/>
      <c r="AA37" s="199"/>
      <c r="AB37" s="199"/>
      <c r="AC37" s="199"/>
      <c r="AD37" s="5"/>
      <c r="AE37" s="5"/>
      <c r="AF37" s="5"/>
    </row>
    <row r="38" spans="1:32" ht="14.25" customHeight="1">
      <c r="A38" s="5"/>
      <c r="B38" s="201" t="e">
        <f t="shared" si="9"/>
        <v>#VALUE!</v>
      </c>
      <c r="C38" s="51">
        <f>SUMIF(DailyAccomplishmentReport!$B$12:$B$26,Billing!B38,DailyAccomplishmentReport!$C$12:$C$26)</f>
        <v>0</v>
      </c>
      <c r="D38" s="200">
        <f>SUMIF(DailyAccomplishmentReport!$B$12:$B$26,Billing!B38,DailyAccomplishmentReport!$AP$12:$AP$26)</f>
        <v>0</v>
      </c>
      <c r="E38" s="182">
        <f t="shared" si="6"/>
        <v>0</v>
      </c>
      <c r="F38" s="182">
        <f t="shared" si="7"/>
        <v>0</v>
      </c>
      <c r="G38" s="182">
        <f t="shared" si="8"/>
        <v>0</v>
      </c>
      <c r="H38" s="395"/>
      <c r="I38" s="294"/>
      <c r="J38" s="294"/>
      <c r="K38" s="294"/>
      <c r="L38" s="294"/>
      <c r="M38" s="294"/>
      <c r="N38" s="294"/>
      <c r="O38" s="294"/>
      <c r="P38" s="294"/>
      <c r="Q38" s="295"/>
      <c r="R38" s="5"/>
      <c r="S38" s="70"/>
      <c r="T38" s="5"/>
      <c r="U38" s="5"/>
      <c r="V38" s="199"/>
      <c r="W38" s="199"/>
      <c r="X38" s="199"/>
      <c r="Y38" s="199"/>
      <c r="Z38" s="199"/>
      <c r="AA38" s="199"/>
      <c r="AB38" s="199"/>
      <c r="AC38" s="199"/>
      <c r="AD38" s="5"/>
      <c r="AE38" s="5"/>
      <c r="AF38" s="5"/>
    </row>
    <row r="39" spans="1:32" ht="14.25" customHeight="1">
      <c r="A39" s="5"/>
      <c r="B39" s="201" t="e">
        <f t="shared" si="9"/>
        <v>#VALUE!</v>
      </c>
      <c r="C39" s="51">
        <f>SUMIF(DailyAccomplishmentReport!$B$12:$B$26,Billing!B39,DailyAccomplishmentReport!$C$12:$C$26)</f>
        <v>0</v>
      </c>
      <c r="D39" s="51">
        <f>SUMIF(DailyAccomplishmentReport!$B$12:$B$26,Billing!B39,DailyAccomplishmentReport!$AP$12:$AP$26)</f>
        <v>0</v>
      </c>
      <c r="E39" s="182">
        <f t="shared" si="6"/>
        <v>0</v>
      </c>
      <c r="F39" s="182">
        <f t="shared" si="7"/>
        <v>0</v>
      </c>
      <c r="G39" s="182">
        <f t="shared" si="8"/>
        <v>0</v>
      </c>
      <c r="H39" s="395"/>
      <c r="I39" s="294"/>
      <c r="J39" s="294"/>
      <c r="K39" s="294"/>
      <c r="L39" s="294"/>
      <c r="M39" s="294"/>
      <c r="N39" s="294"/>
      <c r="O39" s="294"/>
      <c r="P39" s="294"/>
      <c r="Q39" s="295"/>
      <c r="R39" s="5"/>
      <c r="S39" s="70"/>
      <c r="T39" s="5"/>
      <c r="U39" s="5"/>
      <c r="V39" s="199"/>
      <c r="W39" s="199"/>
      <c r="X39" s="199"/>
      <c r="Y39" s="199"/>
      <c r="Z39" s="199"/>
      <c r="AA39" s="199"/>
      <c r="AB39" s="199"/>
      <c r="AC39" s="199"/>
      <c r="AD39" s="5"/>
      <c r="AE39" s="5"/>
      <c r="AF39" s="5"/>
    </row>
    <row r="40" spans="1:32" ht="14.25" customHeight="1">
      <c r="A40" s="5"/>
      <c r="B40" s="201" t="e">
        <f t="shared" si="9"/>
        <v>#VALUE!</v>
      </c>
      <c r="C40" s="51">
        <f>SUMIF(DailyAccomplishmentReport!$B$12:$B$26,Billing!B40,DailyAccomplishmentReport!$C$12:$C$26)</f>
        <v>0</v>
      </c>
      <c r="D40" s="51">
        <f>SUMIF(DailyAccomplishmentReport!$B$12:$B$26,Billing!B40,DailyAccomplishmentReport!$AP$12:$AP$26)</f>
        <v>0</v>
      </c>
      <c r="E40" s="182">
        <f t="shared" si="6"/>
        <v>0</v>
      </c>
      <c r="F40" s="182">
        <f t="shared" si="7"/>
        <v>0</v>
      </c>
      <c r="G40" s="182">
        <f t="shared" si="8"/>
        <v>0</v>
      </c>
      <c r="H40" s="395"/>
      <c r="I40" s="294"/>
      <c r="J40" s="294"/>
      <c r="K40" s="294"/>
      <c r="L40" s="294"/>
      <c r="M40" s="294"/>
      <c r="N40" s="294"/>
      <c r="O40" s="294"/>
      <c r="P40" s="294"/>
      <c r="Q40" s="295"/>
      <c r="R40" s="5"/>
      <c r="S40" s="70"/>
      <c r="T40" s="5"/>
      <c r="U40" s="5"/>
      <c r="V40" s="199"/>
      <c r="W40" s="199"/>
      <c r="X40" s="199"/>
      <c r="Y40" s="199"/>
      <c r="Z40" s="199"/>
      <c r="AA40" s="199"/>
      <c r="AB40" s="199"/>
      <c r="AC40" s="199"/>
      <c r="AD40" s="5"/>
      <c r="AE40" s="5"/>
      <c r="AF40" s="5"/>
    </row>
    <row r="41" spans="1:32" ht="14.25" customHeight="1">
      <c r="A41" s="5"/>
      <c r="B41" s="201" t="e">
        <f t="shared" si="9"/>
        <v>#VALUE!</v>
      </c>
      <c r="C41" s="51">
        <f>SUMIF(DailyAccomplishmentReport!$B$12:$B$26,Billing!B41,DailyAccomplishmentReport!$C$12:$C$26)</f>
        <v>0</v>
      </c>
      <c r="D41" s="51">
        <f>SUMIF(DailyAccomplishmentReport!$B$12:$B$26,Billing!B41,DailyAccomplishmentReport!$AP$12:$AP$26)</f>
        <v>0</v>
      </c>
      <c r="E41" s="182">
        <f t="shared" si="6"/>
        <v>0</v>
      </c>
      <c r="F41" s="182">
        <f t="shared" si="7"/>
        <v>0</v>
      </c>
      <c r="G41" s="182">
        <f t="shared" si="8"/>
        <v>0</v>
      </c>
      <c r="H41" s="395"/>
      <c r="I41" s="294"/>
      <c r="J41" s="294"/>
      <c r="K41" s="294"/>
      <c r="L41" s="294"/>
      <c r="M41" s="294"/>
      <c r="N41" s="294"/>
      <c r="O41" s="294"/>
      <c r="P41" s="294"/>
      <c r="Q41" s="295"/>
      <c r="R41" s="5"/>
      <c r="S41" s="70"/>
      <c r="T41" s="5"/>
      <c r="U41" s="5"/>
      <c r="V41" s="199"/>
      <c r="W41" s="199"/>
      <c r="X41" s="199"/>
      <c r="Y41" s="199"/>
      <c r="Z41" s="199"/>
      <c r="AA41" s="199"/>
      <c r="AB41" s="199"/>
      <c r="AC41" s="199"/>
      <c r="AD41" s="5"/>
      <c r="AE41" s="5"/>
      <c r="AF41" s="5"/>
    </row>
    <row r="42" spans="1:32" ht="14.25" customHeight="1">
      <c r="A42" s="5"/>
      <c r="B42" s="201" t="e">
        <f t="shared" si="9"/>
        <v>#VALUE!</v>
      </c>
      <c r="C42" s="51">
        <f>SUMIF(DailyAccomplishmentReport!$B$12:$B$26,Billing!B42,DailyAccomplishmentReport!$C$12:$C$26)</f>
        <v>0</v>
      </c>
      <c r="D42" s="51">
        <f>SUMIF(DailyAccomplishmentReport!$B$12:$B$26,Billing!B42,DailyAccomplishmentReport!$AP$12:$AP$26)</f>
        <v>0</v>
      </c>
      <c r="E42" s="182">
        <f t="shared" si="6"/>
        <v>0</v>
      </c>
      <c r="F42" s="182">
        <f t="shared" si="7"/>
        <v>0</v>
      </c>
      <c r="G42" s="182">
        <f t="shared" si="8"/>
        <v>0</v>
      </c>
      <c r="H42" s="395"/>
      <c r="I42" s="294"/>
      <c r="J42" s="294"/>
      <c r="K42" s="294"/>
      <c r="L42" s="294"/>
      <c r="M42" s="294"/>
      <c r="N42" s="294"/>
      <c r="O42" s="294"/>
      <c r="P42" s="294"/>
      <c r="Q42" s="295"/>
      <c r="R42" s="5"/>
      <c r="S42" s="70"/>
      <c r="T42" s="5"/>
      <c r="U42" s="5"/>
      <c r="V42" s="199"/>
      <c r="W42" s="199"/>
      <c r="X42" s="199"/>
      <c r="Y42" s="199"/>
      <c r="Z42" s="199"/>
      <c r="AA42" s="199"/>
      <c r="AB42" s="199"/>
      <c r="AC42" s="199"/>
      <c r="AD42" s="5"/>
      <c r="AE42" s="5"/>
      <c r="AF42" s="5"/>
    </row>
    <row r="43" spans="1:32" ht="14.25" customHeight="1">
      <c r="A43" s="5"/>
      <c r="B43" s="201" t="e">
        <f t="shared" si="9"/>
        <v>#VALUE!</v>
      </c>
      <c r="C43" s="51">
        <f>SUMIF(DailyAccomplishmentReport!$B$12:$B$26,Billing!B43,DailyAccomplishmentReport!$C$12:$C$26)</f>
        <v>0</v>
      </c>
      <c r="D43" s="51">
        <f>SUMIF(DailyAccomplishmentReport!$B$12:$B$26,Billing!B43,DailyAccomplishmentReport!$AP$12:$AP$26)</f>
        <v>0</v>
      </c>
      <c r="E43" s="182">
        <f t="shared" si="6"/>
        <v>0</v>
      </c>
      <c r="F43" s="182">
        <f t="shared" si="7"/>
        <v>0</v>
      </c>
      <c r="G43" s="182">
        <f t="shared" si="8"/>
        <v>0</v>
      </c>
      <c r="H43" s="395"/>
      <c r="I43" s="294"/>
      <c r="J43" s="294"/>
      <c r="K43" s="294"/>
      <c r="L43" s="294"/>
      <c r="M43" s="294"/>
      <c r="N43" s="294"/>
      <c r="O43" s="294"/>
      <c r="P43" s="294"/>
      <c r="Q43" s="295"/>
      <c r="R43" s="5"/>
      <c r="S43" s="70"/>
      <c r="T43" s="5"/>
      <c r="U43" s="5"/>
      <c r="V43" s="199"/>
      <c r="W43" s="199"/>
      <c r="X43" s="199"/>
      <c r="Y43" s="199"/>
      <c r="Z43" s="199"/>
      <c r="AA43" s="199"/>
      <c r="AB43" s="199"/>
      <c r="AC43" s="199"/>
      <c r="AD43" s="5"/>
      <c r="AE43" s="5"/>
      <c r="AF43" s="5"/>
    </row>
    <row r="44" spans="1:32" ht="14.25" customHeight="1">
      <c r="A44" s="5"/>
      <c r="B44" s="201" t="e">
        <f t="shared" si="9"/>
        <v>#VALUE!</v>
      </c>
      <c r="C44" s="51">
        <f>SUMIF(DailyAccomplishmentReport!$B$12:$B$26,Billing!B44,DailyAccomplishmentReport!$C$12:$C$26)</f>
        <v>0</v>
      </c>
      <c r="D44" s="51">
        <f>SUMIF(DailyAccomplishmentReport!$B$12:$B$26,Billing!B44,DailyAccomplishmentReport!$AP$12:$AP$26)</f>
        <v>0</v>
      </c>
      <c r="E44" s="182">
        <f t="shared" si="6"/>
        <v>0</v>
      </c>
      <c r="F44" s="182">
        <f t="shared" si="7"/>
        <v>0</v>
      </c>
      <c r="G44" s="182">
        <f t="shared" si="8"/>
        <v>0</v>
      </c>
      <c r="H44" s="395"/>
      <c r="I44" s="294"/>
      <c r="J44" s="294"/>
      <c r="K44" s="294"/>
      <c r="L44" s="294"/>
      <c r="M44" s="294"/>
      <c r="N44" s="294"/>
      <c r="O44" s="294"/>
      <c r="P44" s="294"/>
      <c r="Q44" s="295"/>
      <c r="R44" s="5"/>
      <c r="S44" s="70"/>
      <c r="T44" s="5"/>
      <c r="U44" s="5"/>
      <c r="V44" s="199"/>
      <c r="W44" s="199"/>
      <c r="X44" s="199"/>
      <c r="Y44" s="199"/>
      <c r="Z44" s="199"/>
      <c r="AA44" s="199"/>
      <c r="AB44" s="199"/>
      <c r="AC44" s="199"/>
      <c r="AD44" s="5"/>
      <c r="AE44" s="5"/>
      <c r="AF44" s="5"/>
    </row>
    <row r="45" spans="1:32" ht="14.25" customHeight="1">
      <c r="A45" s="5"/>
      <c r="B45" s="201" t="e">
        <f t="shared" si="9"/>
        <v>#VALUE!</v>
      </c>
      <c r="C45" s="51">
        <f>SUMIF(DailyAccomplishmentReport!$B$12:$B$26,Billing!B45,DailyAccomplishmentReport!$C$12:$C$26)</f>
        <v>0</v>
      </c>
      <c r="D45" s="51">
        <f>SUMIF(DailyAccomplishmentReport!$B$12:$B$26,Billing!B45,DailyAccomplishmentReport!$AP$12:$AP$26)</f>
        <v>0</v>
      </c>
      <c r="E45" s="182">
        <f t="shared" si="6"/>
        <v>0</v>
      </c>
      <c r="F45" s="182">
        <f t="shared" si="7"/>
        <v>0</v>
      </c>
      <c r="G45" s="182">
        <f t="shared" si="8"/>
        <v>0</v>
      </c>
      <c r="H45" s="395"/>
      <c r="I45" s="294"/>
      <c r="J45" s="294"/>
      <c r="K45" s="294"/>
      <c r="L45" s="294"/>
      <c r="M45" s="294"/>
      <c r="N45" s="294"/>
      <c r="O45" s="294"/>
      <c r="P45" s="294"/>
      <c r="Q45" s="295"/>
      <c r="R45" s="5"/>
      <c r="S45" s="70"/>
      <c r="T45" s="5"/>
      <c r="U45" s="5"/>
      <c r="V45" s="199"/>
      <c r="W45" s="199"/>
      <c r="X45" s="199"/>
      <c r="Y45" s="199"/>
      <c r="Z45" s="199"/>
      <c r="AA45" s="199"/>
      <c r="AB45" s="199"/>
      <c r="AC45" s="199"/>
      <c r="AD45" s="5"/>
      <c r="AE45" s="5"/>
      <c r="AF45" s="5"/>
    </row>
    <row r="46" spans="1:32" ht="14.25" customHeight="1">
      <c r="A46" s="5"/>
      <c r="B46" s="201" t="e">
        <f t="shared" si="9"/>
        <v>#VALUE!</v>
      </c>
      <c r="C46" s="51">
        <f>SUMIF(DailyAccomplishmentReport!$B$12:$B$26,Billing!B46,DailyAccomplishmentReport!$C$12:$C$26)</f>
        <v>0</v>
      </c>
      <c r="D46" s="51">
        <f>SUMIF(DailyAccomplishmentReport!$B$12:$B$26,Billing!B46,DailyAccomplishmentReport!$AP$12:$AP$26)</f>
        <v>0</v>
      </c>
      <c r="E46" s="182">
        <f t="shared" si="6"/>
        <v>0</v>
      </c>
      <c r="F46" s="182">
        <f t="shared" si="7"/>
        <v>0</v>
      </c>
      <c r="G46" s="182">
        <f t="shared" si="8"/>
        <v>0</v>
      </c>
      <c r="H46" s="395"/>
      <c r="I46" s="294"/>
      <c r="J46" s="294"/>
      <c r="K46" s="294"/>
      <c r="L46" s="294"/>
      <c r="M46" s="294"/>
      <c r="N46" s="294"/>
      <c r="O46" s="294"/>
      <c r="P46" s="294"/>
      <c r="Q46" s="295"/>
      <c r="R46" s="5"/>
      <c r="S46" s="70"/>
      <c r="T46" s="5"/>
      <c r="U46" s="5"/>
      <c r="V46" s="199"/>
      <c r="W46" s="199"/>
      <c r="X46" s="199"/>
      <c r="Y46" s="199"/>
      <c r="Z46" s="199"/>
      <c r="AA46" s="199"/>
      <c r="AB46" s="199"/>
      <c r="AC46" s="199"/>
      <c r="AD46" s="5"/>
      <c r="AE46" s="5"/>
      <c r="AF46" s="5"/>
    </row>
    <row r="47" spans="1:32" ht="14.25" customHeight="1">
      <c r="A47" s="5"/>
      <c r="B47" s="201" t="e">
        <f t="shared" si="9"/>
        <v>#VALUE!</v>
      </c>
      <c r="C47" s="51">
        <f>SUMIF(DailyAccomplishmentReport!$B$12:$B$26,Billing!B47,DailyAccomplishmentReport!$C$12:$C$26)</f>
        <v>0</v>
      </c>
      <c r="D47" s="51">
        <f>SUMIF(DailyAccomplishmentReport!$B$12:$B$26,Billing!B47,DailyAccomplishmentReport!$AP$12:$AP$26)</f>
        <v>0</v>
      </c>
      <c r="E47" s="182">
        <f t="shared" si="6"/>
        <v>0</v>
      </c>
      <c r="F47" s="182">
        <f t="shared" si="7"/>
        <v>0</v>
      </c>
      <c r="G47" s="182">
        <f t="shared" si="8"/>
        <v>0</v>
      </c>
      <c r="H47" s="395"/>
      <c r="I47" s="294"/>
      <c r="J47" s="294"/>
      <c r="K47" s="294"/>
      <c r="L47" s="294"/>
      <c r="M47" s="294"/>
      <c r="N47" s="294"/>
      <c r="O47" s="294"/>
      <c r="P47" s="294"/>
      <c r="Q47" s="295"/>
      <c r="R47" s="5"/>
      <c r="S47" s="70"/>
      <c r="T47" s="5"/>
      <c r="U47" s="5"/>
      <c r="V47" s="199"/>
      <c r="W47" s="199"/>
      <c r="X47" s="199"/>
      <c r="Y47" s="199"/>
      <c r="Z47" s="199"/>
      <c r="AA47" s="199"/>
      <c r="AB47" s="199"/>
      <c r="AC47" s="199"/>
      <c r="AD47" s="5"/>
      <c r="AE47" s="5"/>
      <c r="AF47" s="5"/>
    </row>
    <row r="48" spans="1:32" ht="14.25" customHeight="1">
      <c r="A48" s="5"/>
      <c r="B48" s="201" t="e">
        <f t="shared" si="9"/>
        <v>#VALUE!</v>
      </c>
      <c r="C48" s="51">
        <f>SUMIF(DailyAccomplishmentReport!$B$12:$B$26,Billing!B48,DailyAccomplishmentReport!$C$12:$C$26)</f>
        <v>0</v>
      </c>
      <c r="D48" s="51">
        <f>SUMIF(DailyAccomplishmentReport!$B$12:$B$26,Billing!B48,DailyAccomplishmentReport!$AP$12:$AP$26)</f>
        <v>0</v>
      </c>
      <c r="E48" s="182">
        <f t="shared" si="6"/>
        <v>0</v>
      </c>
      <c r="F48" s="182">
        <f t="shared" si="7"/>
        <v>0</v>
      </c>
      <c r="G48" s="182">
        <f t="shared" si="8"/>
        <v>0</v>
      </c>
      <c r="H48" s="395"/>
      <c r="I48" s="294"/>
      <c r="J48" s="294"/>
      <c r="K48" s="294"/>
      <c r="L48" s="294"/>
      <c r="M48" s="294"/>
      <c r="N48" s="294"/>
      <c r="O48" s="294"/>
      <c r="P48" s="294"/>
      <c r="Q48" s="295"/>
      <c r="R48" s="5"/>
      <c r="S48" s="70"/>
      <c r="T48" s="5"/>
      <c r="U48" s="5"/>
      <c r="V48" s="199"/>
      <c r="W48" s="199"/>
      <c r="X48" s="199"/>
      <c r="Y48" s="199"/>
      <c r="Z48" s="199"/>
      <c r="AA48" s="199"/>
      <c r="AB48" s="199"/>
      <c r="AC48" s="199"/>
      <c r="AD48" s="5"/>
      <c r="AE48" s="5"/>
      <c r="AF48" s="5"/>
    </row>
    <row r="49" spans="1:32" ht="14.25" customHeight="1">
      <c r="A49" s="5"/>
      <c r="B49" s="201" t="e">
        <f t="shared" si="9"/>
        <v>#VALUE!</v>
      </c>
      <c r="C49" s="51">
        <f>SUMIF(DailyAccomplishmentReport!$B$12:$B$26,Billing!B49,DailyAccomplishmentReport!$C$12:$C$26)</f>
        <v>0</v>
      </c>
      <c r="D49" s="51">
        <f>SUMIF(DailyAccomplishmentReport!$B$12:$B$26,Billing!B49,DailyAccomplishmentReport!$AP$12:$AP$26)</f>
        <v>0</v>
      </c>
      <c r="E49" s="182">
        <f t="shared" si="6"/>
        <v>0</v>
      </c>
      <c r="F49" s="182">
        <f t="shared" si="7"/>
        <v>0</v>
      </c>
      <c r="G49" s="182">
        <f t="shared" si="8"/>
        <v>0</v>
      </c>
      <c r="H49" s="395"/>
      <c r="I49" s="294"/>
      <c r="J49" s="294"/>
      <c r="K49" s="294"/>
      <c r="L49" s="294"/>
      <c r="M49" s="294"/>
      <c r="N49" s="294"/>
      <c r="O49" s="294"/>
      <c r="P49" s="294"/>
      <c r="Q49" s="295"/>
      <c r="R49" s="5"/>
      <c r="S49" s="70"/>
      <c r="T49" s="5"/>
      <c r="U49" s="5"/>
      <c r="V49" s="199"/>
      <c r="W49" s="199"/>
      <c r="X49" s="199"/>
      <c r="Y49" s="199"/>
      <c r="Z49" s="199"/>
      <c r="AA49" s="199"/>
      <c r="AB49" s="199"/>
      <c r="AC49" s="199"/>
      <c r="AD49" s="5"/>
      <c r="AE49" s="5"/>
      <c r="AF49" s="5"/>
    </row>
    <row r="50" spans="1:32" ht="14.25" customHeight="1">
      <c r="A50" s="5"/>
      <c r="B50" s="201" t="e">
        <f t="shared" si="9"/>
        <v>#VALUE!</v>
      </c>
      <c r="C50" s="51">
        <f>SUMIF(DailyAccomplishmentReport!$B$12:$B$26,Billing!B50,DailyAccomplishmentReport!$C$12:$C$26)</f>
        <v>0</v>
      </c>
      <c r="D50" s="51">
        <f>SUMIF(DailyAccomplishmentReport!$B$12:$B$26,Billing!B50,DailyAccomplishmentReport!$AP$12:$AP$26)</f>
        <v>0</v>
      </c>
      <c r="E50" s="182">
        <f t="shared" si="6"/>
        <v>0</v>
      </c>
      <c r="F50" s="182">
        <f t="shared" si="7"/>
        <v>0</v>
      </c>
      <c r="G50" s="182">
        <f t="shared" si="8"/>
        <v>0</v>
      </c>
      <c r="H50" s="395"/>
      <c r="I50" s="294"/>
      <c r="J50" s="294"/>
      <c r="K50" s="294"/>
      <c r="L50" s="294"/>
      <c r="M50" s="294"/>
      <c r="N50" s="294"/>
      <c r="O50" s="294"/>
      <c r="P50" s="294"/>
      <c r="Q50" s="295"/>
      <c r="R50" s="5"/>
      <c r="S50" s="70"/>
      <c r="T50" s="5"/>
      <c r="U50" s="5"/>
      <c r="V50" s="199"/>
      <c r="W50" s="199"/>
      <c r="X50" s="199"/>
      <c r="Y50" s="199"/>
      <c r="Z50" s="199"/>
      <c r="AA50" s="199"/>
      <c r="AB50" s="199"/>
      <c r="AC50" s="199"/>
      <c r="AD50" s="5"/>
      <c r="AE50" s="5"/>
      <c r="AF50" s="5"/>
    </row>
    <row r="51" spans="1:32" ht="14.25" customHeight="1">
      <c r="A51" s="5"/>
      <c r="B51" s="201" t="e">
        <f t="shared" si="9"/>
        <v>#VALUE!</v>
      </c>
      <c r="C51" s="51">
        <f>SUMIF(DailyAccomplishmentReport!$B$12:$B$26,Billing!B51,DailyAccomplishmentReport!$C$12:$C$26)</f>
        <v>0</v>
      </c>
      <c r="D51" s="51">
        <f>SUMIF(DailyAccomplishmentReport!$B$12:$B$26,Billing!B51,DailyAccomplishmentReport!$AP$12:$AP$26)</f>
        <v>0</v>
      </c>
      <c r="E51" s="182">
        <f t="shared" si="6"/>
        <v>0</v>
      </c>
      <c r="F51" s="182">
        <f t="shared" si="7"/>
        <v>0</v>
      </c>
      <c r="G51" s="182">
        <f t="shared" si="8"/>
        <v>0</v>
      </c>
      <c r="H51" s="395"/>
      <c r="I51" s="294"/>
      <c r="J51" s="294"/>
      <c r="K51" s="294"/>
      <c r="L51" s="294"/>
      <c r="M51" s="294"/>
      <c r="N51" s="294"/>
      <c r="O51" s="294"/>
      <c r="P51" s="294"/>
      <c r="Q51" s="295"/>
      <c r="R51" s="5"/>
      <c r="S51" s="70"/>
      <c r="T51" s="5"/>
      <c r="U51" s="5"/>
      <c r="V51" s="199"/>
      <c r="W51" s="199"/>
      <c r="X51" s="199"/>
      <c r="Y51" s="199"/>
      <c r="Z51" s="199"/>
      <c r="AA51" s="199"/>
      <c r="AB51" s="199"/>
      <c r="AC51" s="199"/>
      <c r="AD51" s="5"/>
      <c r="AE51" s="5"/>
      <c r="AF51" s="5"/>
    </row>
    <row r="52" spans="1:32" ht="14.25" customHeight="1">
      <c r="A52" s="5"/>
      <c r="B52" s="201" t="e">
        <f t="shared" si="9"/>
        <v>#VALUE!</v>
      </c>
      <c r="C52" s="51">
        <f>SUMIF(DailyAccomplishmentReport!$B$12:$B$26,Billing!B52,DailyAccomplishmentReport!$C$12:$C$26)</f>
        <v>0</v>
      </c>
      <c r="D52" s="51">
        <f>SUMIF(DailyAccomplishmentReport!$B$12:$B$26,Billing!B52,DailyAccomplishmentReport!$AP$12:$AP$26)</f>
        <v>0</v>
      </c>
      <c r="E52" s="182">
        <f t="shared" si="6"/>
        <v>0</v>
      </c>
      <c r="F52" s="182">
        <f t="shared" si="7"/>
        <v>0</v>
      </c>
      <c r="G52" s="182">
        <f t="shared" si="8"/>
        <v>0</v>
      </c>
      <c r="H52" s="395"/>
      <c r="I52" s="294"/>
      <c r="J52" s="294"/>
      <c r="K52" s="294"/>
      <c r="L52" s="294"/>
      <c r="M52" s="294"/>
      <c r="N52" s="294"/>
      <c r="O52" s="294"/>
      <c r="P52" s="294"/>
      <c r="Q52" s="295"/>
      <c r="R52" s="5"/>
      <c r="S52" s="70"/>
      <c r="T52" s="5"/>
      <c r="U52" s="5"/>
      <c r="V52" s="199"/>
      <c r="W52" s="199"/>
      <c r="X52" s="199"/>
      <c r="Y52" s="199"/>
      <c r="Z52" s="199"/>
      <c r="AA52" s="199"/>
      <c r="AB52" s="199"/>
      <c r="AC52" s="199"/>
      <c r="AD52" s="5"/>
      <c r="AE52" s="5"/>
      <c r="AF52" s="5"/>
    </row>
    <row r="53" spans="1:32" ht="14.25" customHeight="1">
      <c r="A53" s="5"/>
      <c r="B53" s="202"/>
      <c r="C53" s="203"/>
      <c r="D53" s="203"/>
      <c r="E53" s="203"/>
      <c r="F53" s="203"/>
      <c r="G53" s="203"/>
      <c r="H53" s="422"/>
      <c r="I53" s="286"/>
      <c r="J53" s="286"/>
      <c r="K53" s="286"/>
      <c r="L53" s="286"/>
      <c r="M53" s="286"/>
      <c r="N53" s="286"/>
      <c r="O53" s="286"/>
      <c r="P53" s="286"/>
      <c r="Q53" s="287"/>
      <c r="R53" s="5"/>
      <c r="S53" s="5"/>
      <c r="T53" s="5"/>
      <c r="U53" s="5"/>
      <c r="V53" s="199"/>
      <c r="W53" s="199"/>
      <c r="X53" s="199"/>
      <c r="Y53" s="199"/>
      <c r="Z53" s="199"/>
      <c r="AA53" s="199"/>
      <c r="AB53" s="199"/>
      <c r="AC53" s="199"/>
      <c r="AD53" s="5"/>
      <c r="AE53" s="5"/>
      <c r="AF53" s="5"/>
    </row>
    <row r="54" spans="1:32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4.25" customHeight="1">
      <c r="A55" s="5"/>
      <c r="B55" s="204" t="s">
        <v>69</v>
      </c>
      <c r="C55" s="205">
        <f>SUM(C22:C53)</f>
        <v>0</v>
      </c>
      <c r="D55" s="206">
        <f>SUM(D22:D53)</f>
        <v>0</v>
      </c>
      <c r="E55" s="205">
        <f>SUM(E22:E53)</f>
        <v>0</v>
      </c>
      <c r="F55" s="205">
        <f>SUM(F22:F53)</f>
        <v>0</v>
      </c>
      <c r="G55" s="207">
        <f>SUM(G22:G53)</f>
        <v>0</v>
      </c>
      <c r="H55" s="5"/>
      <c r="I55" s="208"/>
      <c r="J55" s="208"/>
      <c r="K55" s="208"/>
      <c r="L55" s="208"/>
      <c r="M55" s="208"/>
      <c r="N55" s="208"/>
      <c r="O55" s="208"/>
      <c r="P55" s="208"/>
      <c r="Q55" s="208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4.25" customHeight="1">
      <c r="A56" s="5"/>
      <c r="B56" s="5"/>
      <c r="C56" s="5"/>
      <c r="D56" s="5"/>
      <c r="E56" s="5"/>
      <c r="F56" s="5"/>
      <c r="G56" s="5"/>
      <c r="H56" s="5"/>
      <c r="I56" s="209"/>
      <c r="J56" s="210"/>
      <c r="K56" s="210"/>
      <c r="L56" s="210"/>
      <c r="M56" s="210"/>
      <c r="N56" s="210"/>
      <c r="O56" s="210"/>
      <c r="P56" s="210"/>
      <c r="Q56" s="210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4.25" customHeight="1">
      <c r="A57" s="5"/>
      <c r="B57" s="5"/>
      <c r="C57" s="5"/>
      <c r="D57" s="5"/>
      <c r="E57" s="5"/>
      <c r="F57" s="5"/>
      <c r="G57" s="5"/>
      <c r="H57" s="5"/>
      <c r="I57" s="209"/>
      <c r="J57" s="21"/>
      <c r="K57" s="21"/>
      <c r="L57" s="21"/>
      <c r="M57" s="21"/>
      <c r="N57" s="21"/>
      <c r="O57" s="21"/>
      <c r="P57" s="210"/>
      <c r="Q57" s="210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4.25" customHeight="1">
      <c r="A58" s="5"/>
      <c r="B58" s="5"/>
      <c r="C58" s="5"/>
      <c r="D58" s="5"/>
      <c r="E58" s="5"/>
      <c r="F58" s="5"/>
      <c r="G58" s="5"/>
      <c r="H58" s="5"/>
      <c r="I58" s="417" t="s">
        <v>153</v>
      </c>
      <c r="J58" s="418"/>
      <c r="K58" s="418"/>
      <c r="L58" s="418"/>
      <c r="M58" s="419"/>
      <c r="N58" s="112"/>
      <c r="O58" s="112"/>
      <c r="P58" s="112"/>
      <c r="Q58" s="112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14.25" customHeight="1">
      <c r="A59" s="5"/>
      <c r="B59" s="5"/>
      <c r="C59" s="5"/>
      <c r="D59" s="5"/>
      <c r="E59" s="5"/>
      <c r="F59" s="5"/>
      <c r="G59" s="5"/>
      <c r="H59" s="5"/>
      <c r="I59" s="413" t="s">
        <v>154</v>
      </c>
      <c r="J59" s="415" t="s">
        <v>43</v>
      </c>
      <c r="K59" s="291"/>
      <c r="L59" s="291"/>
      <c r="M59" s="292"/>
      <c r="N59" s="210"/>
      <c r="O59" s="210"/>
      <c r="P59" s="420"/>
      <c r="Q59" s="420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4.25" customHeight="1">
      <c r="A60" s="5"/>
      <c r="B60" s="5"/>
      <c r="C60" s="5"/>
      <c r="D60" s="5"/>
      <c r="E60" s="5"/>
      <c r="F60" s="5"/>
      <c r="G60" s="5"/>
      <c r="H60" s="5"/>
      <c r="I60" s="423"/>
      <c r="J60" s="211" t="s">
        <v>155</v>
      </c>
      <c r="K60" s="212" t="s">
        <v>156</v>
      </c>
      <c r="L60" s="213" t="s">
        <v>147</v>
      </c>
      <c r="M60" s="214" t="s">
        <v>157</v>
      </c>
      <c r="N60" s="21"/>
      <c r="O60" s="21"/>
      <c r="P60" s="421"/>
      <c r="Q60" s="421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4.25" customHeight="1">
      <c r="A61" s="5"/>
      <c r="B61" s="5"/>
      <c r="C61" s="5"/>
      <c r="D61" s="5"/>
      <c r="E61" s="5"/>
      <c r="F61" s="5"/>
      <c r="G61" s="5"/>
      <c r="H61" s="5"/>
      <c r="I61" s="215"/>
      <c r="J61" s="216">
        <f>SUMIF(DailyAccomplishmentReport!$E$12:$E$26,Billing!I61,DailyAccomplishmentReport!$C$12:$C$26)</f>
        <v>0</v>
      </c>
      <c r="K61" s="216">
        <f t="shared" ref="K61:K82" si="10">M61-J61</f>
        <v>0</v>
      </c>
      <c r="L61" s="216"/>
      <c r="M61" s="217"/>
      <c r="N61" s="179"/>
      <c r="O61" s="179"/>
      <c r="P61" s="179"/>
      <c r="Q61" s="179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4.25" customHeight="1">
      <c r="A62" s="5"/>
      <c r="B62" s="5"/>
      <c r="C62" s="5"/>
      <c r="D62" s="5"/>
      <c r="E62" s="5"/>
      <c r="F62" s="5"/>
      <c r="G62" s="5"/>
      <c r="H62" s="5"/>
      <c r="I62" s="218"/>
      <c r="J62" s="219">
        <f>SUMIF(DailyAccomplishmentReport!$E$12:$E$26,Billing!I62,DailyAccomplishmentReport!$C$12:$C$26)</f>
        <v>0</v>
      </c>
      <c r="K62" s="219">
        <f t="shared" si="10"/>
        <v>0</v>
      </c>
      <c r="L62" s="219"/>
      <c r="M62" s="220"/>
      <c r="N62" s="179"/>
      <c r="O62" s="179"/>
      <c r="P62" s="179"/>
      <c r="Q62" s="179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4.25" customHeight="1">
      <c r="A63" s="5"/>
      <c r="B63" s="5"/>
      <c r="C63" s="5"/>
      <c r="D63" s="5"/>
      <c r="E63" s="5"/>
      <c r="F63" s="5"/>
      <c r="G63" s="5"/>
      <c r="H63" s="5"/>
      <c r="I63" s="218"/>
      <c r="J63" s="219">
        <f>SUMIF(DailyAccomplishmentReport!$E$12:$E$26,Billing!I63,DailyAccomplishmentReport!$C$12:$C$26)</f>
        <v>0</v>
      </c>
      <c r="K63" s="219">
        <f t="shared" si="10"/>
        <v>0</v>
      </c>
      <c r="L63" s="221"/>
      <c r="M63" s="222"/>
      <c r="N63" s="16"/>
      <c r="O63" s="16"/>
      <c r="P63" s="16"/>
      <c r="Q63" s="16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4.25" customHeight="1">
      <c r="A64" s="5"/>
      <c r="B64" s="5"/>
      <c r="C64" s="5"/>
      <c r="D64" s="5"/>
      <c r="E64" s="5"/>
      <c r="F64" s="5"/>
      <c r="G64" s="5"/>
      <c r="H64" s="5"/>
      <c r="I64" s="223"/>
      <c r="J64" s="219">
        <f>SUMIF(DailyAccomplishmentReport!$E$12:$E$26,Billing!I64,DailyAccomplishmentReport!$C$12:$C$26)</f>
        <v>0</v>
      </c>
      <c r="K64" s="219">
        <f t="shared" si="10"/>
        <v>0</v>
      </c>
      <c r="L64" s="36"/>
      <c r="M64" s="22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4.25" customHeight="1">
      <c r="A65" s="5"/>
      <c r="B65" s="5"/>
      <c r="C65" s="5"/>
      <c r="D65" s="5"/>
      <c r="E65" s="5"/>
      <c r="F65" s="5"/>
      <c r="G65" s="5"/>
      <c r="H65" s="5"/>
      <c r="I65" s="223"/>
      <c r="J65" s="219">
        <f>SUMIF(DailyAccomplishmentReport!$E$12:$E$26,Billing!I65,DailyAccomplishmentReport!$C$12:$C$26)</f>
        <v>0</v>
      </c>
      <c r="K65" s="219">
        <f t="shared" si="10"/>
        <v>0</v>
      </c>
      <c r="L65" s="36"/>
      <c r="M65" s="22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4.25" customHeight="1">
      <c r="A66" s="5"/>
      <c r="B66" s="5"/>
      <c r="C66" s="5"/>
      <c r="D66" s="5"/>
      <c r="E66" s="5"/>
      <c r="F66" s="5"/>
      <c r="G66" s="5"/>
      <c r="H66" s="5"/>
      <c r="I66" s="223"/>
      <c r="J66" s="219">
        <f>SUMIF(DailyAccomplishmentReport!$E$12:$E$26,Billing!I66,DailyAccomplishmentReport!$C$12:$C$26)</f>
        <v>0</v>
      </c>
      <c r="K66" s="219">
        <f t="shared" si="10"/>
        <v>0</v>
      </c>
      <c r="L66" s="36"/>
      <c r="M66" s="22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4.25" customHeight="1">
      <c r="A67" s="5"/>
      <c r="B67" s="5"/>
      <c r="C67" s="5"/>
      <c r="D67" s="5"/>
      <c r="E67" s="5"/>
      <c r="F67" s="5"/>
      <c r="G67" s="5"/>
      <c r="H67" s="5"/>
      <c r="I67" s="223"/>
      <c r="J67" s="219">
        <f>SUMIF(DailyAccomplishmentReport!$E$12:$E$26,Billing!I67,DailyAccomplishmentReport!$C$12:$C$26)</f>
        <v>0</v>
      </c>
      <c r="K67" s="219">
        <f t="shared" si="10"/>
        <v>0</v>
      </c>
      <c r="L67" s="36"/>
      <c r="M67" s="22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4.25" customHeight="1">
      <c r="A68" s="5"/>
      <c r="B68" s="5"/>
      <c r="C68" s="5"/>
      <c r="D68" s="5"/>
      <c r="E68" s="5"/>
      <c r="F68" s="5"/>
      <c r="G68" s="5"/>
      <c r="H68" s="5"/>
      <c r="I68" s="223"/>
      <c r="J68" s="219">
        <f>SUMIF(DailyAccomplishmentReport!$E$12:$E$26,Billing!I68,DailyAccomplishmentReport!$C$12:$C$26)</f>
        <v>0</v>
      </c>
      <c r="K68" s="219">
        <f t="shared" si="10"/>
        <v>0</v>
      </c>
      <c r="L68" s="36"/>
      <c r="M68" s="22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4.25" customHeight="1">
      <c r="A69" s="5"/>
      <c r="B69" s="5"/>
      <c r="C69" s="5"/>
      <c r="D69" s="5"/>
      <c r="E69" s="5"/>
      <c r="F69" s="5"/>
      <c r="G69" s="5"/>
      <c r="H69" s="5"/>
      <c r="I69" s="223"/>
      <c r="J69" s="219">
        <f>SUMIF(DailyAccomplishmentReport!$E$12:$E$26,Billing!I69,DailyAccomplishmentReport!$C$12:$C$26)</f>
        <v>0</v>
      </c>
      <c r="K69" s="219">
        <f t="shared" si="10"/>
        <v>0</v>
      </c>
      <c r="L69" s="36"/>
      <c r="M69" s="22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4.25" customHeight="1">
      <c r="A70" s="5"/>
      <c r="B70" s="5"/>
      <c r="C70" s="5"/>
      <c r="D70" s="5"/>
      <c r="E70" s="5"/>
      <c r="F70" s="5"/>
      <c r="G70" s="5"/>
      <c r="H70" s="5"/>
      <c r="I70" s="223"/>
      <c r="J70" s="219">
        <f>SUMIF(DailyAccomplishmentReport!$E$12:$E$26,Billing!I70,DailyAccomplishmentReport!$C$12:$C$26)</f>
        <v>0</v>
      </c>
      <c r="K70" s="219">
        <f t="shared" si="10"/>
        <v>0</v>
      </c>
      <c r="L70" s="36"/>
      <c r="M70" s="22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4.25" customHeight="1">
      <c r="A71" s="5"/>
      <c r="B71" s="5"/>
      <c r="C71" s="5"/>
      <c r="D71" s="5"/>
      <c r="E71" s="5"/>
      <c r="F71" s="5"/>
      <c r="G71" s="5"/>
      <c r="H71" s="5"/>
      <c r="I71" s="223"/>
      <c r="J71" s="219">
        <f>SUMIF(DailyAccomplishmentReport!$E$12:$E$26,Billing!I71,DailyAccomplishmentReport!$C$12:$C$26)</f>
        <v>0</v>
      </c>
      <c r="K71" s="219">
        <f t="shared" si="10"/>
        <v>0</v>
      </c>
      <c r="L71" s="36"/>
      <c r="M71" s="22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4.25" customHeight="1">
      <c r="A72" s="5"/>
      <c r="B72" s="5"/>
      <c r="C72" s="5"/>
      <c r="D72" s="5"/>
      <c r="E72" s="5"/>
      <c r="F72" s="5"/>
      <c r="G72" s="5"/>
      <c r="H72" s="5"/>
      <c r="I72" s="223"/>
      <c r="J72" s="219">
        <f>SUMIF(DailyAccomplishmentReport!$E$12:$E$26,Billing!I72,DailyAccomplishmentReport!$C$12:$C$26)</f>
        <v>0</v>
      </c>
      <c r="K72" s="219">
        <f t="shared" si="10"/>
        <v>0</v>
      </c>
      <c r="L72" s="36"/>
      <c r="M72" s="22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14.25" customHeight="1">
      <c r="A73" s="5"/>
      <c r="B73" s="5"/>
      <c r="C73" s="5"/>
      <c r="D73" s="5"/>
      <c r="E73" s="5"/>
      <c r="F73" s="5"/>
      <c r="G73" s="5"/>
      <c r="H73" s="5"/>
      <c r="I73" s="223"/>
      <c r="J73" s="219">
        <f>SUMIF(DailyAccomplishmentReport!$E$12:$E$26,Billing!I73,DailyAccomplishmentReport!$C$12:$C$26)</f>
        <v>0</v>
      </c>
      <c r="K73" s="219">
        <f t="shared" si="10"/>
        <v>0</v>
      </c>
      <c r="L73" s="36"/>
      <c r="M73" s="22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4.25" customHeight="1">
      <c r="A74" s="5"/>
      <c r="B74" s="5"/>
      <c r="C74" s="5"/>
      <c r="D74" s="5"/>
      <c r="E74" s="5"/>
      <c r="F74" s="5"/>
      <c r="G74" s="5"/>
      <c r="H74" s="5"/>
      <c r="I74" s="223"/>
      <c r="J74" s="219">
        <f>SUMIF(DailyAccomplishmentReport!$E$12:$E$26,Billing!I74,DailyAccomplishmentReport!$C$12:$C$26)</f>
        <v>0</v>
      </c>
      <c r="K74" s="219">
        <f t="shared" si="10"/>
        <v>0</v>
      </c>
      <c r="L74" s="36"/>
      <c r="M74" s="22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4.25" customHeight="1">
      <c r="A75" s="5"/>
      <c r="B75" s="5"/>
      <c r="C75" s="5"/>
      <c r="D75" s="5"/>
      <c r="E75" s="5"/>
      <c r="F75" s="5"/>
      <c r="G75" s="5"/>
      <c r="H75" s="5"/>
      <c r="I75" s="223"/>
      <c r="J75" s="219">
        <f>SUMIF(DailyAccomplishmentReport!$E$12:$E$26,Billing!I75,DailyAccomplishmentReport!$C$12:$C$26)</f>
        <v>0</v>
      </c>
      <c r="K75" s="219">
        <f t="shared" si="10"/>
        <v>0</v>
      </c>
      <c r="L75" s="36"/>
      <c r="M75" s="22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4.25" customHeight="1">
      <c r="A76" s="5"/>
      <c r="B76" s="5"/>
      <c r="C76" s="5"/>
      <c r="D76" s="5"/>
      <c r="E76" s="5"/>
      <c r="F76" s="5"/>
      <c r="G76" s="5"/>
      <c r="H76" s="5"/>
      <c r="I76" s="223"/>
      <c r="J76" s="219">
        <f>SUMIF(DailyAccomplishmentReport!$E$12:$E$26,Billing!I76,DailyAccomplishmentReport!$C$12:$C$26)</f>
        <v>0</v>
      </c>
      <c r="K76" s="219">
        <f t="shared" si="10"/>
        <v>0</v>
      </c>
      <c r="L76" s="36"/>
      <c r="M76" s="22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4.25" customHeight="1">
      <c r="A77" s="5"/>
      <c r="B77" s="5"/>
      <c r="C77" s="5"/>
      <c r="D77" s="5"/>
      <c r="E77" s="5"/>
      <c r="F77" s="5"/>
      <c r="G77" s="5"/>
      <c r="H77" s="5"/>
      <c r="I77" s="223"/>
      <c r="J77" s="219">
        <f>SUMIF(DailyAccomplishmentReport!$E$12:$E$26,Billing!I77,DailyAccomplishmentReport!$C$12:$C$26)</f>
        <v>0</v>
      </c>
      <c r="K77" s="219">
        <f t="shared" si="10"/>
        <v>0</v>
      </c>
      <c r="L77" s="36"/>
      <c r="M77" s="22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4.25" customHeight="1">
      <c r="A78" s="5"/>
      <c r="B78" s="5"/>
      <c r="C78" s="5"/>
      <c r="D78" s="5"/>
      <c r="E78" s="5"/>
      <c r="F78" s="5"/>
      <c r="G78" s="5"/>
      <c r="H78" s="5"/>
      <c r="I78" s="223"/>
      <c r="J78" s="219">
        <f>SUMIF(DailyAccomplishmentReport!$E$12:$E$26,Billing!I78,DailyAccomplishmentReport!$C$12:$C$26)</f>
        <v>0</v>
      </c>
      <c r="K78" s="219">
        <f t="shared" si="10"/>
        <v>0</v>
      </c>
      <c r="L78" s="36"/>
      <c r="M78" s="22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4.25" customHeight="1">
      <c r="A79" s="5"/>
      <c r="B79" s="5"/>
      <c r="C79" s="5"/>
      <c r="D79" s="5"/>
      <c r="E79" s="5"/>
      <c r="F79" s="5"/>
      <c r="G79" s="5"/>
      <c r="H79" s="5"/>
      <c r="I79" s="223"/>
      <c r="J79" s="219">
        <f>SUMIF(DailyAccomplishmentReport!$E$12:$E$26,Billing!I79,DailyAccomplishmentReport!$C$12:$C$26)</f>
        <v>0</v>
      </c>
      <c r="K79" s="219">
        <f t="shared" si="10"/>
        <v>0</v>
      </c>
      <c r="L79" s="36"/>
      <c r="M79" s="22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4.25" customHeight="1">
      <c r="A80" s="5"/>
      <c r="B80" s="5"/>
      <c r="C80" s="5"/>
      <c r="D80" s="5"/>
      <c r="E80" s="5"/>
      <c r="F80" s="5"/>
      <c r="G80" s="5"/>
      <c r="H80" s="5"/>
      <c r="I80" s="223"/>
      <c r="J80" s="219">
        <f>SUMIF(DailyAccomplishmentReport!$E$12:$E$26,Billing!I80,DailyAccomplishmentReport!$C$12:$C$26)</f>
        <v>0</v>
      </c>
      <c r="K80" s="219">
        <f t="shared" si="10"/>
        <v>0</v>
      </c>
      <c r="L80" s="36"/>
      <c r="M80" s="22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4.25" customHeight="1">
      <c r="A81" s="5"/>
      <c r="B81" s="5"/>
      <c r="C81" s="5"/>
      <c r="D81" s="5"/>
      <c r="E81" s="5"/>
      <c r="F81" s="5"/>
      <c r="G81" s="5"/>
      <c r="H81" s="5"/>
      <c r="I81" s="223"/>
      <c r="J81" s="219">
        <f>SUMIF(DailyAccomplishmentReport!$E$12:$E$26,Billing!I81,DailyAccomplishmentReport!$C$12:$C$26)</f>
        <v>0</v>
      </c>
      <c r="K81" s="219">
        <f t="shared" si="10"/>
        <v>0</v>
      </c>
      <c r="L81" s="36"/>
      <c r="M81" s="22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4.25" customHeight="1">
      <c r="A82" s="5"/>
      <c r="B82" s="5"/>
      <c r="C82" s="5"/>
      <c r="D82" s="5"/>
      <c r="E82" s="5"/>
      <c r="F82" s="5"/>
      <c r="G82" s="5"/>
      <c r="H82" s="5"/>
      <c r="I82" s="223"/>
      <c r="J82" s="219">
        <f>SUMIF(DailyAccomplishmentReport!$E$12:$E$26,Billing!I82,DailyAccomplishmentReport!$C$12:$C$26)</f>
        <v>0</v>
      </c>
      <c r="K82" s="219">
        <f t="shared" si="10"/>
        <v>0</v>
      </c>
      <c r="L82" s="36"/>
      <c r="M82" s="22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4.25" customHeight="1">
      <c r="A83" s="5"/>
      <c r="B83" s="5"/>
      <c r="C83" s="5"/>
      <c r="D83" s="5"/>
      <c r="E83" s="5"/>
      <c r="F83" s="5"/>
      <c r="G83" s="5"/>
      <c r="H83" s="5"/>
      <c r="I83" s="202"/>
      <c r="J83" s="203"/>
      <c r="K83" s="203"/>
      <c r="L83" s="203"/>
      <c r="M83" s="22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55">
    <mergeCell ref="I58:M58"/>
    <mergeCell ref="J59:M59"/>
    <mergeCell ref="P59:P60"/>
    <mergeCell ref="Q59:Q60"/>
    <mergeCell ref="H48:Q48"/>
    <mergeCell ref="H49:Q49"/>
    <mergeCell ref="H50:Q50"/>
    <mergeCell ref="H51:Q51"/>
    <mergeCell ref="H52:Q52"/>
    <mergeCell ref="H53:Q53"/>
    <mergeCell ref="I59:I60"/>
    <mergeCell ref="P4:P5"/>
    <mergeCell ref="Q4:Q5"/>
    <mergeCell ref="B1:Q2"/>
    <mergeCell ref="I3:Q3"/>
    <mergeCell ref="V3:AC3"/>
    <mergeCell ref="B4:C4"/>
    <mergeCell ref="I4:I5"/>
    <mergeCell ref="J4:L4"/>
    <mergeCell ref="M4:O4"/>
    <mergeCell ref="B5:C5"/>
    <mergeCell ref="B6:C6"/>
    <mergeCell ref="B7:C7"/>
    <mergeCell ref="B8:C9"/>
    <mergeCell ref="B10:C10"/>
    <mergeCell ref="B20:B21"/>
    <mergeCell ref="C20:D20"/>
    <mergeCell ref="E20:G20"/>
    <mergeCell ref="H20:Q21"/>
    <mergeCell ref="H22:Q22"/>
    <mergeCell ref="H23:Q23"/>
    <mergeCell ref="H24:Q24"/>
    <mergeCell ref="H25:Q25"/>
    <mergeCell ref="H26:Q26"/>
    <mergeCell ref="H27:Q27"/>
    <mergeCell ref="H28:Q28"/>
    <mergeCell ref="H29:Q29"/>
    <mergeCell ref="H30:Q30"/>
    <mergeCell ref="H31:Q31"/>
    <mergeCell ref="H32:Q32"/>
    <mergeCell ref="H33:Q33"/>
    <mergeCell ref="H34:Q34"/>
    <mergeCell ref="H35:Q35"/>
    <mergeCell ref="H36:Q36"/>
    <mergeCell ref="H37:Q37"/>
    <mergeCell ref="H38:Q38"/>
    <mergeCell ref="H39:Q39"/>
    <mergeCell ref="H45:Q45"/>
    <mergeCell ref="H46:Q46"/>
    <mergeCell ref="H47:Q47"/>
    <mergeCell ref="H40:Q40"/>
    <mergeCell ref="H41:Q41"/>
    <mergeCell ref="H42:Q42"/>
    <mergeCell ref="H43:Q43"/>
    <mergeCell ref="H44:Q4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3.28515625" customWidth="1"/>
    <col min="2" max="2" width="25" customWidth="1"/>
    <col min="3" max="3" width="9" customWidth="1"/>
    <col min="4" max="4" width="7.85546875" customWidth="1"/>
    <col min="5" max="5" width="3.28515625" customWidth="1"/>
    <col min="6" max="6" width="8.7109375" customWidth="1"/>
    <col min="7" max="7" width="5.140625" customWidth="1"/>
    <col min="8" max="8" width="9" customWidth="1"/>
    <col min="9" max="9" width="33.28515625" customWidth="1"/>
    <col min="10" max="15" width="3.28515625" customWidth="1"/>
    <col min="16" max="16" width="12.140625" customWidth="1"/>
    <col min="17" max="26" width="3.28515625" customWidth="1"/>
  </cols>
  <sheetData>
    <row r="1" spans="1:26" ht="14.25" customHeight="1">
      <c r="A1" s="5"/>
      <c r="B1" s="5"/>
      <c r="C1" s="5"/>
      <c r="D1" s="70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/>
      <c r="B2" s="226" t="s">
        <v>158</v>
      </c>
      <c r="C2" s="227" t="s">
        <v>159</v>
      </c>
      <c r="D2" s="228" t="s">
        <v>160</v>
      </c>
      <c r="E2" s="112"/>
      <c r="F2" s="226" t="s">
        <v>42</v>
      </c>
      <c r="G2" s="227" t="s">
        <v>158</v>
      </c>
      <c r="H2" s="227" t="s">
        <v>159</v>
      </c>
      <c r="I2" s="229" t="s">
        <v>161</v>
      </c>
      <c r="J2" s="5"/>
      <c r="K2" s="226" t="s">
        <v>162</v>
      </c>
      <c r="L2" s="227" t="s">
        <v>4</v>
      </c>
      <c r="M2" s="227" t="s">
        <v>163</v>
      </c>
      <c r="N2" s="227" t="s">
        <v>164</v>
      </c>
      <c r="O2" s="229" t="s">
        <v>10</v>
      </c>
      <c r="P2" s="229" t="s">
        <v>165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/>
      <c r="B3" s="230" t="s">
        <v>20</v>
      </c>
      <c r="C3" s="49">
        <v>6</v>
      </c>
      <c r="D3" s="231">
        <v>1.25</v>
      </c>
      <c r="E3" s="5"/>
      <c r="F3" s="232">
        <v>44197</v>
      </c>
      <c r="G3" s="233" t="str">
        <f t="shared" ref="G3:G257" si="0">TEXT(F3,"ddd")</f>
        <v>Fri</v>
      </c>
      <c r="H3" s="49">
        <v>97</v>
      </c>
      <c r="I3" s="234" t="s">
        <v>166</v>
      </c>
      <c r="J3" s="5"/>
      <c r="K3" s="230" t="s">
        <v>167</v>
      </c>
      <c r="L3" s="36" t="s">
        <v>168</v>
      </c>
      <c r="M3" s="49" t="s">
        <v>169</v>
      </c>
      <c r="N3" s="49" t="s">
        <v>170</v>
      </c>
      <c r="O3" s="235" t="s">
        <v>70</v>
      </c>
      <c r="P3" s="235" t="s">
        <v>171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/>
      <c r="B4" s="236" t="s">
        <v>21</v>
      </c>
      <c r="C4" s="36">
        <v>1</v>
      </c>
      <c r="D4" s="237">
        <v>1.3</v>
      </c>
      <c r="E4" s="5"/>
      <c r="F4" s="198">
        <f t="shared" ref="F4:F258" si="1">F3+1</f>
        <v>44198</v>
      </c>
      <c r="G4" s="238" t="str">
        <f t="shared" si="0"/>
        <v>Sat</v>
      </c>
      <c r="H4" s="36">
        <f t="shared" ref="H4:H44" si="2">IF(G4="Sun",1,IF(G4="Sat",7,6))</f>
        <v>7</v>
      </c>
      <c r="I4" s="224"/>
      <c r="J4" s="5"/>
      <c r="K4" s="50" t="s">
        <v>172</v>
      </c>
      <c r="L4" s="36" t="s">
        <v>173</v>
      </c>
      <c r="M4" s="36" t="s">
        <v>174</v>
      </c>
      <c r="N4" s="36" t="s">
        <v>175</v>
      </c>
      <c r="O4" s="40" t="s">
        <v>71</v>
      </c>
      <c r="P4" s="40" t="s">
        <v>176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/>
      <c r="B5" s="239" t="s">
        <v>22</v>
      </c>
      <c r="C5" s="36">
        <v>7</v>
      </c>
      <c r="D5" s="237">
        <v>1.25</v>
      </c>
      <c r="E5" s="5"/>
      <c r="F5" s="198">
        <f t="shared" si="1"/>
        <v>44199</v>
      </c>
      <c r="G5" s="238" t="str">
        <f t="shared" si="0"/>
        <v>Sun</v>
      </c>
      <c r="H5" s="36">
        <f t="shared" si="2"/>
        <v>1</v>
      </c>
      <c r="I5" s="224"/>
      <c r="J5" s="5"/>
      <c r="K5" s="50" t="s">
        <v>177</v>
      </c>
      <c r="L5" s="36" t="s">
        <v>178</v>
      </c>
      <c r="M5" s="36" t="s">
        <v>179</v>
      </c>
      <c r="N5" s="36" t="s">
        <v>180</v>
      </c>
      <c r="O5" s="40" t="s">
        <v>72</v>
      </c>
      <c r="P5" s="40" t="s">
        <v>181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/>
      <c r="B6" s="240" t="s">
        <v>23</v>
      </c>
      <c r="C6" s="36">
        <v>87</v>
      </c>
      <c r="D6" s="237">
        <v>1.3</v>
      </c>
      <c r="E6" s="5"/>
      <c r="F6" s="198">
        <f t="shared" si="1"/>
        <v>44200</v>
      </c>
      <c r="G6" s="238" t="str">
        <f t="shared" si="0"/>
        <v>Mon</v>
      </c>
      <c r="H6" s="36">
        <f t="shared" si="2"/>
        <v>6</v>
      </c>
      <c r="I6" s="224"/>
      <c r="J6" s="5"/>
      <c r="K6" s="50"/>
      <c r="L6" s="36" t="s">
        <v>182</v>
      </c>
      <c r="M6" s="36"/>
      <c r="N6" s="36" t="s">
        <v>183</v>
      </c>
      <c r="O6" s="40" t="s">
        <v>73</v>
      </c>
      <c r="P6" s="40" t="s">
        <v>184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/>
      <c r="B7" s="241" t="s">
        <v>24</v>
      </c>
      <c r="C7" s="36">
        <v>887</v>
      </c>
      <c r="D7" s="237">
        <v>1.69</v>
      </c>
      <c r="E7" s="5"/>
      <c r="F7" s="198">
        <f t="shared" si="1"/>
        <v>44201</v>
      </c>
      <c r="G7" s="238" t="str">
        <f t="shared" si="0"/>
        <v>Tue</v>
      </c>
      <c r="H7" s="36">
        <f t="shared" si="2"/>
        <v>6</v>
      </c>
      <c r="I7" s="224"/>
      <c r="J7" s="5"/>
      <c r="K7" s="50"/>
      <c r="L7" s="36" t="s">
        <v>185</v>
      </c>
      <c r="M7" s="36"/>
      <c r="N7" s="36" t="s">
        <v>186</v>
      </c>
      <c r="O7" s="40" t="s">
        <v>68</v>
      </c>
      <c r="P7" s="40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/>
      <c r="B8" s="242" t="s">
        <v>25</v>
      </c>
      <c r="C8" s="36">
        <v>81</v>
      </c>
      <c r="D8" s="237">
        <v>1.5</v>
      </c>
      <c r="E8" s="5"/>
      <c r="F8" s="198">
        <f t="shared" si="1"/>
        <v>44202</v>
      </c>
      <c r="G8" s="238" t="str">
        <f t="shared" si="0"/>
        <v>Wed</v>
      </c>
      <c r="H8" s="36">
        <f t="shared" si="2"/>
        <v>6</v>
      </c>
      <c r="I8" s="224"/>
      <c r="J8" s="5"/>
      <c r="K8" s="50"/>
      <c r="L8" s="5" t="s">
        <v>187</v>
      </c>
      <c r="M8" s="36"/>
      <c r="N8" s="36" t="s">
        <v>188</v>
      </c>
      <c r="O8" s="243" t="s">
        <v>189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244" t="s">
        <v>26</v>
      </c>
      <c r="C9" s="36">
        <v>881</v>
      </c>
      <c r="D9" s="237">
        <v>1.95</v>
      </c>
      <c r="E9" s="5"/>
      <c r="F9" s="198">
        <f t="shared" si="1"/>
        <v>44203</v>
      </c>
      <c r="G9" s="238" t="str">
        <f t="shared" si="0"/>
        <v>Thu</v>
      </c>
      <c r="H9" s="36">
        <f t="shared" si="2"/>
        <v>6</v>
      </c>
      <c r="I9" s="224"/>
      <c r="J9" s="5"/>
      <c r="K9" s="50"/>
      <c r="L9" s="36"/>
      <c r="M9" s="5"/>
      <c r="N9" s="36" t="s">
        <v>190</v>
      </c>
      <c r="O9" s="40" t="s">
        <v>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245" t="s">
        <v>27</v>
      </c>
      <c r="C10" s="36">
        <v>97</v>
      </c>
      <c r="D10" s="237">
        <v>2</v>
      </c>
      <c r="E10" s="5"/>
      <c r="F10" s="198">
        <f t="shared" si="1"/>
        <v>44204</v>
      </c>
      <c r="G10" s="238" t="str">
        <f t="shared" si="0"/>
        <v>Fri</v>
      </c>
      <c r="H10" s="36">
        <f t="shared" si="2"/>
        <v>6</v>
      </c>
      <c r="I10" s="224"/>
      <c r="J10" s="5"/>
      <c r="K10" s="50"/>
      <c r="L10" s="36"/>
      <c r="M10" s="36"/>
      <c r="N10" s="36" t="s">
        <v>191</v>
      </c>
      <c r="O10" s="40" t="s">
        <v>75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246" t="s">
        <v>28</v>
      </c>
      <c r="C11" s="36">
        <v>997</v>
      </c>
      <c r="D11" s="237">
        <v>2.6</v>
      </c>
      <c r="E11" s="5"/>
      <c r="F11" s="198">
        <f t="shared" si="1"/>
        <v>44205</v>
      </c>
      <c r="G11" s="238" t="str">
        <f t="shared" si="0"/>
        <v>Sat</v>
      </c>
      <c r="H11" s="36">
        <f t="shared" si="2"/>
        <v>7</v>
      </c>
      <c r="I11" s="224"/>
      <c r="J11" s="5"/>
      <c r="K11" s="50"/>
      <c r="L11" s="36"/>
      <c r="M11" s="36"/>
      <c r="N11" s="36" t="s">
        <v>192</v>
      </c>
      <c r="O11" s="40" t="s">
        <v>76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247" t="s">
        <v>29</v>
      </c>
      <c r="C12" s="36">
        <v>91</v>
      </c>
      <c r="D12" s="237">
        <v>2.6</v>
      </c>
      <c r="E12" s="5"/>
      <c r="F12" s="198">
        <f t="shared" si="1"/>
        <v>44206</v>
      </c>
      <c r="G12" s="238" t="str">
        <f t="shared" si="0"/>
        <v>Sun</v>
      </c>
      <c r="H12" s="36">
        <f t="shared" si="2"/>
        <v>1</v>
      </c>
      <c r="I12" s="224"/>
      <c r="J12" s="5"/>
      <c r="K12" s="50"/>
      <c r="L12" s="36"/>
      <c r="M12" s="36"/>
      <c r="N12" s="36" t="s">
        <v>193</v>
      </c>
      <c r="O12" s="40" t="s">
        <v>77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248" t="s">
        <v>30</v>
      </c>
      <c r="C13" s="36">
        <v>991</v>
      </c>
      <c r="D13" s="237">
        <v>3.38</v>
      </c>
      <c r="E13" s="5"/>
      <c r="F13" s="198">
        <f t="shared" si="1"/>
        <v>44207</v>
      </c>
      <c r="G13" s="238" t="str">
        <f t="shared" si="0"/>
        <v>Mon</v>
      </c>
      <c r="H13" s="36">
        <f t="shared" si="2"/>
        <v>6</v>
      </c>
      <c r="I13" s="224"/>
      <c r="J13" s="5"/>
      <c r="K13" s="50"/>
      <c r="L13" s="36"/>
      <c r="M13" s="36"/>
      <c r="N13" s="36" t="s">
        <v>194</v>
      </c>
      <c r="O13" s="40" t="s">
        <v>78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249" t="s">
        <v>31</v>
      </c>
      <c r="C14" s="36">
        <v>88</v>
      </c>
      <c r="D14" s="237">
        <v>0.1</v>
      </c>
      <c r="E14" s="5"/>
      <c r="F14" s="198">
        <f t="shared" si="1"/>
        <v>44208</v>
      </c>
      <c r="G14" s="238" t="str">
        <f t="shared" si="0"/>
        <v>Tue</v>
      </c>
      <c r="H14" s="36">
        <f t="shared" si="2"/>
        <v>6</v>
      </c>
      <c r="I14" s="224"/>
      <c r="J14" s="5"/>
      <c r="K14" s="50"/>
      <c r="L14" s="36"/>
      <c r="M14" s="36"/>
      <c r="N14" s="5" t="s">
        <v>195</v>
      </c>
      <c r="O14" s="40" t="s">
        <v>79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/>
      <c r="B15" s="60"/>
      <c r="C15" s="57"/>
      <c r="D15" s="250"/>
      <c r="E15" s="5"/>
      <c r="F15" s="198">
        <f t="shared" si="1"/>
        <v>44209</v>
      </c>
      <c r="G15" s="238" t="str">
        <f t="shared" si="0"/>
        <v>Wed</v>
      </c>
      <c r="H15" s="36">
        <f t="shared" si="2"/>
        <v>6</v>
      </c>
      <c r="I15" s="224"/>
      <c r="J15" s="5"/>
      <c r="K15" s="50"/>
      <c r="L15" s="36"/>
      <c r="M15" s="36"/>
      <c r="N15" s="36" t="s">
        <v>196</v>
      </c>
      <c r="O15" s="40" t="s">
        <v>80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/>
      <c r="B16" s="5"/>
      <c r="C16" s="5"/>
      <c r="D16" s="70"/>
      <c r="E16" s="5"/>
      <c r="F16" s="198">
        <f t="shared" si="1"/>
        <v>44210</v>
      </c>
      <c r="G16" s="238" t="str">
        <f t="shared" si="0"/>
        <v>Thu</v>
      </c>
      <c r="H16" s="36">
        <f t="shared" si="2"/>
        <v>6</v>
      </c>
      <c r="I16" s="224"/>
      <c r="J16" s="5"/>
      <c r="K16" s="60"/>
      <c r="L16" s="57"/>
      <c r="M16" s="57"/>
      <c r="N16" s="57"/>
      <c r="O16" s="40" t="s">
        <v>81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/>
      <c r="B17" s="5"/>
      <c r="C17" s="5"/>
      <c r="D17" s="70"/>
      <c r="E17" s="5"/>
      <c r="F17" s="198">
        <f t="shared" si="1"/>
        <v>44211</v>
      </c>
      <c r="G17" s="238" t="str">
        <f t="shared" si="0"/>
        <v>Fri</v>
      </c>
      <c r="H17" s="36">
        <f t="shared" si="2"/>
        <v>6</v>
      </c>
      <c r="I17" s="224"/>
      <c r="J17" s="5"/>
      <c r="K17" s="5"/>
      <c r="L17" s="5"/>
      <c r="M17" s="5"/>
      <c r="N17" s="5"/>
      <c r="O17" s="5" t="s">
        <v>197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5"/>
      <c r="C18" s="5"/>
      <c r="D18" s="70"/>
      <c r="E18" s="5"/>
      <c r="F18" s="198">
        <f t="shared" si="1"/>
        <v>44212</v>
      </c>
      <c r="G18" s="238" t="str">
        <f t="shared" si="0"/>
        <v>Sat</v>
      </c>
      <c r="H18" s="36">
        <f t="shared" si="2"/>
        <v>7</v>
      </c>
      <c r="I18" s="224"/>
      <c r="J18" s="5"/>
      <c r="K18" s="5"/>
      <c r="L18" s="227" t="s">
        <v>198</v>
      </c>
      <c r="M18" s="5"/>
      <c r="N18" s="5"/>
      <c r="O18" s="5" t="s">
        <v>199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/>
      <c r="B19" s="5"/>
      <c r="C19" s="5"/>
      <c r="D19" s="70"/>
      <c r="E19" s="5"/>
      <c r="F19" s="198">
        <f t="shared" si="1"/>
        <v>44213</v>
      </c>
      <c r="G19" s="238" t="str">
        <f t="shared" si="0"/>
        <v>Sun</v>
      </c>
      <c r="H19" s="36">
        <f t="shared" si="2"/>
        <v>1</v>
      </c>
      <c r="I19" s="224"/>
      <c r="J19" s="5"/>
      <c r="K19" s="5"/>
      <c r="L19" s="49" t="s">
        <v>200</v>
      </c>
      <c r="M19" s="5"/>
      <c r="N19" s="5"/>
      <c r="O19" s="5" t="s">
        <v>201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"/>
      <c r="C20" s="5"/>
      <c r="D20" s="70"/>
      <c r="E20" s="5"/>
      <c r="F20" s="198">
        <f t="shared" si="1"/>
        <v>44214</v>
      </c>
      <c r="G20" s="238" t="str">
        <f t="shared" si="0"/>
        <v>Mon</v>
      </c>
      <c r="H20" s="36">
        <f t="shared" si="2"/>
        <v>6</v>
      </c>
      <c r="I20" s="224"/>
      <c r="J20" s="5"/>
      <c r="K20" s="5"/>
      <c r="L20" s="5"/>
      <c r="M20" s="5"/>
      <c r="N20" s="5"/>
      <c r="O20" s="40" t="s">
        <v>82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"/>
      <c r="C21" s="5"/>
      <c r="D21" s="70"/>
      <c r="E21" s="5"/>
      <c r="F21" s="198">
        <f t="shared" si="1"/>
        <v>44215</v>
      </c>
      <c r="G21" s="238" t="str">
        <f t="shared" si="0"/>
        <v>Tue</v>
      </c>
      <c r="H21" s="36">
        <f t="shared" si="2"/>
        <v>6</v>
      </c>
      <c r="I21" s="224"/>
      <c r="J21" s="5"/>
      <c r="K21" s="5"/>
      <c r="L21" s="5"/>
      <c r="M21" s="5"/>
      <c r="N21" s="5"/>
      <c r="O21" s="243" t="s">
        <v>83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"/>
      <c r="C22" s="5"/>
      <c r="D22" s="70"/>
      <c r="E22" s="5"/>
      <c r="F22" s="198">
        <f t="shared" si="1"/>
        <v>44216</v>
      </c>
      <c r="G22" s="238" t="str">
        <f t="shared" si="0"/>
        <v>Wed</v>
      </c>
      <c r="H22" s="36">
        <f t="shared" si="2"/>
        <v>6</v>
      </c>
      <c r="I22" s="224"/>
      <c r="J22" s="5"/>
      <c r="K22" s="5"/>
      <c r="L22" s="5"/>
      <c r="M22" s="5"/>
      <c r="N22" s="5"/>
      <c r="O22" s="243" t="s">
        <v>84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"/>
      <c r="C23" s="5"/>
      <c r="D23" s="70"/>
      <c r="E23" s="5"/>
      <c r="F23" s="198">
        <f t="shared" si="1"/>
        <v>44217</v>
      </c>
      <c r="G23" s="238" t="str">
        <f t="shared" si="0"/>
        <v>Thu</v>
      </c>
      <c r="H23" s="36">
        <f t="shared" si="2"/>
        <v>6</v>
      </c>
      <c r="I23" s="224"/>
      <c r="J23" s="5"/>
      <c r="K23" s="5"/>
      <c r="L23" s="5"/>
      <c r="M23" s="5"/>
      <c r="N23" s="5"/>
      <c r="O23" s="243" t="s">
        <v>85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"/>
      <c r="C24" s="5"/>
      <c r="D24" s="70"/>
      <c r="E24" s="5"/>
      <c r="F24" s="198">
        <f t="shared" si="1"/>
        <v>44218</v>
      </c>
      <c r="G24" s="238" t="str">
        <f t="shared" si="0"/>
        <v>Fri</v>
      </c>
      <c r="H24" s="36">
        <f t="shared" si="2"/>
        <v>6</v>
      </c>
      <c r="I24" s="224"/>
      <c r="J24" s="5"/>
      <c r="K24" s="5"/>
      <c r="L24" s="5"/>
      <c r="M24" s="5"/>
      <c r="N24" s="5"/>
      <c r="O24" s="243" t="s">
        <v>86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"/>
      <c r="C25" s="5"/>
      <c r="D25" s="70"/>
      <c r="E25" s="5"/>
      <c r="F25" s="198">
        <f t="shared" si="1"/>
        <v>44219</v>
      </c>
      <c r="G25" s="238" t="str">
        <f t="shared" si="0"/>
        <v>Sat</v>
      </c>
      <c r="H25" s="36">
        <f t="shared" si="2"/>
        <v>7</v>
      </c>
      <c r="I25" s="224"/>
      <c r="J25" s="5"/>
      <c r="K25" s="5"/>
      <c r="L25" s="5"/>
      <c r="M25" s="5"/>
      <c r="N25" s="5"/>
      <c r="O25" s="243" t="s">
        <v>87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"/>
      <c r="C26" s="5"/>
      <c r="D26" s="70"/>
      <c r="E26" s="5"/>
      <c r="F26" s="198">
        <f t="shared" si="1"/>
        <v>44220</v>
      </c>
      <c r="G26" s="238" t="str">
        <f t="shared" si="0"/>
        <v>Sun</v>
      </c>
      <c r="H26" s="36">
        <f t="shared" si="2"/>
        <v>1</v>
      </c>
      <c r="I26" s="224"/>
      <c r="J26" s="5"/>
      <c r="K26" s="5"/>
      <c r="L26" s="5"/>
      <c r="M26" s="5"/>
      <c r="N26" s="5"/>
      <c r="O26" s="243" t="s">
        <v>88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"/>
      <c r="C27" s="5"/>
      <c r="D27" s="70"/>
      <c r="E27" s="5"/>
      <c r="F27" s="198">
        <f t="shared" si="1"/>
        <v>44221</v>
      </c>
      <c r="G27" s="238" t="str">
        <f t="shared" si="0"/>
        <v>Mon</v>
      </c>
      <c r="H27" s="36">
        <f t="shared" si="2"/>
        <v>6</v>
      </c>
      <c r="I27" s="224"/>
      <c r="J27" s="5"/>
      <c r="K27" s="5"/>
      <c r="L27" s="5"/>
      <c r="M27" s="5"/>
      <c r="N27" s="5"/>
      <c r="O27" s="243" t="s">
        <v>89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"/>
      <c r="C28" s="5"/>
      <c r="D28" s="70"/>
      <c r="E28" s="5"/>
      <c r="F28" s="198">
        <f t="shared" si="1"/>
        <v>44222</v>
      </c>
      <c r="G28" s="238" t="str">
        <f t="shared" si="0"/>
        <v>Tue</v>
      </c>
      <c r="H28" s="36">
        <f t="shared" si="2"/>
        <v>6</v>
      </c>
      <c r="I28" s="224"/>
      <c r="J28" s="5"/>
      <c r="K28" s="5"/>
      <c r="L28" s="5"/>
      <c r="M28" s="5"/>
      <c r="N28" s="5"/>
      <c r="O28" s="243" t="s">
        <v>90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"/>
      <c r="C29" s="5"/>
      <c r="D29" s="70"/>
      <c r="E29" s="5"/>
      <c r="F29" s="198">
        <f t="shared" si="1"/>
        <v>44223</v>
      </c>
      <c r="G29" s="238" t="str">
        <f t="shared" si="0"/>
        <v>Wed</v>
      </c>
      <c r="H29" s="36">
        <f t="shared" si="2"/>
        <v>6</v>
      </c>
      <c r="I29" s="224"/>
      <c r="J29" s="5"/>
      <c r="K29" s="5"/>
      <c r="L29" s="5"/>
      <c r="M29" s="5"/>
      <c r="N29" s="5"/>
      <c r="O29" s="243" t="s">
        <v>91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D30" s="70"/>
      <c r="E30" s="5"/>
      <c r="F30" s="198">
        <f t="shared" si="1"/>
        <v>44224</v>
      </c>
      <c r="G30" s="238" t="str">
        <f t="shared" si="0"/>
        <v>Thu</v>
      </c>
      <c r="H30" s="36">
        <f t="shared" si="2"/>
        <v>6</v>
      </c>
      <c r="I30" s="224"/>
      <c r="J30" s="5"/>
      <c r="K30" s="5"/>
      <c r="L30" s="5"/>
      <c r="M30" s="5"/>
      <c r="N30" s="5"/>
      <c r="O30" s="243" t="s">
        <v>92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D31" s="70"/>
      <c r="E31" s="5"/>
      <c r="F31" s="198">
        <f t="shared" si="1"/>
        <v>44225</v>
      </c>
      <c r="G31" s="238" t="str">
        <f t="shared" si="0"/>
        <v>Fri</v>
      </c>
      <c r="H31" s="36">
        <f t="shared" si="2"/>
        <v>6</v>
      </c>
      <c r="I31" s="224"/>
      <c r="J31" s="5"/>
      <c r="K31" s="5"/>
      <c r="L31" s="5"/>
      <c r="M31" s="5"/>
      <c r="N31" s="5"/>
      <c r="O31" s="243" t="s">
        <v>93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5"/>
      <c r="D32" s="70"/>
      <c r="E32" s="5"/>
      <c r="F32" s="198">
        <f t="shared" si="1"/>
        <v>44226</v>
      </c>
      <c r="G32" s="238" t="str">
        <f t="shared" si="0"/>
        <v>Sat</v>
      </c>
      <c r="H32" s="36">
        <f t="shared" si="2"/>
        <v>7</v>
      </c>
      <c r="I32" s="224"/>
      <c r="J32" s="5"/>
      <c r="K32" s="5"/>
      <c r="L32" s="5"/>
      <c r="M32" s="5"/>
      <c r="N32" s="5"/>
      <c r="O32" s="243" t="s">
        <v>94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70"/>
      <c r="E33" s="5"/>
      <c r="F33" s="198">
        <f t="shared" si="1"/>
        <v>44227</v>
      </c>
      <c r="G33" s="238" t="str">
        <f t="shared" si="0"/>
        <v>Sun</v>
      </c>
      <c r="H33" s="36">
        <f t="shared" si="2"/>
        <v>1</v>
      </c>
      <c r="I33" s="224"/>
      <c r="J33" s="5"/>
      <c r="K33" s="5"/>
      <c r="L33" s="5"/>
      <c r="M33" s="5"/>
      <c r="N33" s="5"/>
      <c r="O33" s="243" t="s">
        <v>95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70"/>
      <c r="E34" s="5"/>
      <c r="F34" s="198">
        <f t="shared" si="1"/>
        <v>44228</v>
      </c>
      <c r="G34" s="238" t="str">
        <f t="shared" si="0"/>
        <v>Mon</v>
      </c>
      <c r="H34" s="36">
        <f t="shared" si="2"/>
        <v>6</v>
      </c>
      <c r="I34" s="224"/>
      <c r="J34" s="5"/>
      <c r="K34" s="5"/>
      <c r="L34" s="5"/>
      <c r="M34" s="5"/>
      <c r="N34" s="5"/>
      <c r="O34" s="243" t="s">
        <v>97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70"/>
      <c r="E35" s="5"/>
      <c r="F35" s="198">
        <f t="shared" si="1"/>
        <v>44229</v>
      </c>
      <c r="G35" s="238" t="str">
        <f t="shared" si="0"/>
        <v>Tue</v>
      </c>
      <c r="H35" s="36">
        <f t="shared" si="2"/>
        <v>6</v>
      </c>
      <c r="I35" s="224"/>
      <c r="J35" s="5"/>
      <c r="K35" s="5"/>
      <c r="L35" s="5"/>
      <c r="M35" s="5"/>
      <c r="N35" s="5"/>
      <c r="O35" s="243" t="s">
        <v>98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70"/>
      <c r="E36" s="5"/>
      <c r="F36" s="198">
        <f t="shared" si="1"/>
        <v>44230</v>
      </c>
      <c r="G36" s="238" t="str">
        <f t="shared" si="0"/>
        <v>Wed</v>
      </c>
      <c r="H36" s="36">
        <f t="shared" si="2"/>
        <v>6</v>
      </c>
      <c r="I36" s="224"/>
      <c r="J36" s="5"/>
      <c r="K36" s="5"/>
      <c r="L36" s="5"/>
      <c r="M36" s="5"/>
      <c r="N36" s="5"/>
      <c r="O36" s="243" t="s">
        <v>99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70"/>
      <c r="E37" s="5"/>
      <c r="F37" s="198">
        <f t="shared" si="1"/>
        <v>44231</v>
      </c>
      <c r="G37" s="238" t="str">
        <f t="shared" si="0"/>
        <v>Thu</v>
      </c>
      <c r="H37" s="36">
        <f t="shared" si="2"/>
        <v>6</v>
      </c>
      <c r="I37" s="224"/>
      <c r="J37" s="5"/>
      <c r="K37" s="5"/>
      <c r="L37" s="5"/>
      <c r="M37" s="5"/>
      <c r="N37" s="5"/>
      <c r="O37" s="243" t="s">
        <v>100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70"/>
      <c r="E38" s="5"/>
      <c r="F38" s="198">
        <f t="shared" si="1"/>
        <v>44232</v>
      </c>
      <c r="G38" s="238" t="str">
        <f t="shared" si="0"/>
        <v>Fri</v>
      </c>
      <c r="H38" s="36">
        <f t="shared" si="2"/>
        <v>6</v>
      </c>
      <c r="I38" s="224"/>
      <c r="J38" s="5"/>
      <c r="K38" s="5"/>
      <c r="L38" s="5"/>
      <c r="M38" s="5"/>
      <c r="N38" s="5"/>
      <c r="O38" s="243" t="s">
        <v>202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70"/>
      <c r="E39" s="5"/>
      <c r="F39" s="198">
        <f t="shared" si="1"/>
        <v>44233</v>
      </c>
      <c r="G39" s="238" t="str">
        <f t="shared" si="0"/>
        <v>Sat</v>
      </c>
      <c r="H39" s="36">
        <f t="shared" si="2"/>
        <v>7</v>
      </c>
      <c r="I39" s="224"/>
      <c r="J39" s="5"/>
      <c r="K39" s="5"/>
      <c r="L39" s="5"/>
      <c r="M39" s="5"/>
      <c r="N39" s="5"/>
      <c r="O39" s="251" t="s">
        <v>96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70"/>
      <c r="E40" s="5"/>
      <c r="F40" s="198">
        <f t="shared" si="1"/>
        <v>44234</v>
      </c>
      <c r="G40" s="238" t="str">
        <f t="shared" si="0"/>
        <v>Sun</v>
      </c>
      <c r="H40" s="36">
        <f t="shared" si="2"/>
        <v>1</v>
      </c>
      <c r="I40" s="224"/>
      <c r="J40" s="5"/>
      <c r="K40" s="5"/>
      <c r="L40" s="5"/>
      <c r="M40" s="5"/>
      <c r="N40" s="5"/>
      <c r="O40" s="5" t="s">
        <v>203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70"/>
      <c r="E41" s="5"/>
      <c r="F41" s="198">
        <f t="shared" si="1"/>
        <v>44235</v>
      </c>
      <c r="G41" s="238" t="str">
        <f t="shared" si="0"/>
        <v>Mon</v>
      </c>
      <c r="H41" s="36">
        <f t="shared" si="2"/>
        <v>6</v>
      </c>
      <c r="I41" s="224"/>
      <c r="J41" s="5"/>
      <c r="K41" s="5"/>
      <c r="L41" s="5"/>
      <c r="M41" s="5"/>
      <c r="N41" s="5"/>
      <c r="O41" s="5" t="s">
        <v>204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70"/>
      <c r="E42" s="5"/>
      <c r="F42" s="198">
        <f t="shared" si="1"/>
        <v>44236</v>
      </c>
      <c r="G42" s="238" t="str">
        <f t="shared" si="0"/>
        <v>Tue</v>
      </c>
      <c r="H42" s="36">
        <f t="shared" si="2"/>
        <v>6</v>
      </c>
      <c r="I42" s="224"/>
      <c r="J42" s="5"/>
      <c r="K42" s="5"/>
      <c r="L42" s="5"/>
      <c r="M42" s="5"/>
      <c r="N42" s="5"/>
      <c r="O42" s="5" t="s">
        <v>205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70"/>
      <c r="E43" s="5"/>
      <c r="F43" s="198">
        <f t="shared" si="1"/>
        <v>44237</v>
      </c>
      <c r="G43" s="238" t="str">
        <f t="shared" si="0"/>
        <v>Wed</v>
      </c>
      <c r="H43" s="36">
        <f t="shared" si="2"/>
        <v>6</v>
      </c>
      <c r="I43" s="224"/>
      <c r="J43" s="5"/>
      <c r="K43" s="5"/>
      <c r="L43" s="5"/>
      <c r="M43" s="5"/>
      <c r="N43" s="5"/>
      <c r="O43" s="5" t="s">
        <v>206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70"/>
      <c r="E44" s="5"/>
      <c r="F44" s="198">
        <f t="shared" si="1"/>
        <v>44238</v>
      </c>
      <c r="G44" s="238" t="str">
        <f t="shared" si="0"/>
        <v>Thu</v>
      </c>
      <c r="H44" s="36">
        <f t="shared" si="2"/>
        <v>6</v>
      </c>
      <c r="I44" s="224"/>
      <c r="J44" s="5"/>
      <c r="K44" s="5"/>
      <c r="L44" s="5"/>
      <c r="M44" s="5"/>
      <c r="N44" s="5"/>
      <c r="O44" s="5" t="s">
        <v>207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70"/>
      <c r="E45" s="5"/>
      <c r="F45" s="198">
        <f t="shared" si="1"/>
        <v>44239</v>
      </c>
      <c r="G45" s="238" t="str">
        <f t="shared" si="0"/>
        <v>Fri</v>
      </c>
      <c r="H45" s="36">
        <v>87</v>
      </c>
      <c r="I45" s="224" t="s">
        <v>208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70"/>
      <c r="E46" s="5"/>
      <c r="F46" s="198">
        <f t="shared" si="1"/>
        <v>44240</v>
      </c>
      <c r="G46" s="238" t="str">
        <f t="shared" si="0"/>
        <v>Sat</v>
      </c>
      <c r="H46" s="36">
        <f t="shared" ref="H46:H57" si="3">IF(G46="Sun",1,IF(G46="Sat",7,6))</f>
        <v>7</v>
      </c>
      <c r="I46" s="22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70"/>
      <c r="E47" s="5"/>
      <c r="F47" s="198">
        <f t="shared" si="1"/>
        <v>44241</v>
      </c>
      <c r="G47" s="238" t="str">
        <f t="shared" si="0"/>
        <v>Sun</v>
      </c>
      <c r="H47" s="36">
        <f t="shared" si="3"/>
        <v>1</v>
      </c>
      <c r="I47" s="22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70"/>
      <c r="E48" s="5"/>
      <c r="F48" s="198">
        <f t="shared" si="1"/>
        <v>44242</v>
      </c>
      <c r="G48" s="238" t="str">
        <f t="shared" si="0"/>
        <v>Mon</v>
      </c>
      <c r="H48" s="36">
        <f t="shared" si="3"/>
        <v>6</v>
      </c>
      <c r="I48" s="22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70"/>
      <c r="E49" s="5"/>
      <c r="F49" s="198">
        <f t="shared" si="1"/>
        <v>44243</v>
      </c>
      <c r="G49" s="238" t="str">
        <f t="shared" si="0"/>
        <v>Tue</v>
      </c>
      <c r="H49" s="36">
        <f t="shared" si="3"/>
        <v>6</v>
      </c>
      <c r="I49" s="22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70"/>
      <c r="E50" s="5"/>
      <c r="F50" s="198">
        <f t="shared" si="1"/>
        <v>44244</v>
      </c>
      <c r="G50" s="238" t="str">
        <f t="shared" si="0"/>
        <v>Wed</v>
      </c>
      <c r="H50" s="36">
        <f t="shared" si="3"/>
        <v>6</v>
      </c>
      <c r="I50" s="22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70"/>
      <c r="E51" s="5"/>
      <c r="F51" s="198">
        <f t="shared" si="1"/>
        <v>44245</v>
      </c>
      <c r="G51" s="238" t="str">
        <f t="shared" si="0"/>
        <v>Thu</v>
      </c>
      <c r="H51" s="36">
        <f t="shared" si="3"/>
        <v>6</v>
      </c>
      <c r="I51" s="22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70"/>
      <c r="E52" s="5"/>
      <c r="F52" s="198">
        <f t="shared" si="1"/>
        <v>44246</v>
      </c>
      <c r="G52" s="238" t="str">
        <f t="shared" si="0"/>
        <v>Fri</v>
      </c>
      <c r="H52" s="36">
        <f t="shared" si="3"/>
        <v>6</v>
      </c>
      <c r="I52" s="22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70"/>
      <c r="E53" s="5"/>
      <c r="F53" s="198">
        <f t="shared" si="1"/>
        <v>44247</v>
      </c>
      <c r="G53" s="238" t="str">
        <f t="shared" si="0"/>
        <v>Sat</v>
      </c>
      <c r="H53" s="36">
        <f t="shared" si="3"/>
        <v>7</v>
      </c>
      <c r="I53" s="22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70"/>
      <c r="E54" s="5"/>
      <c r="F54" s="198">
        <f t="shared" si="1"/>
        <v>44248</v>
      </c>
      <c r="G54" s="238" t="str">
        <f t="shared" si="0"/>
        <v>Sun</v>
      </c>
      <c r="H54" s="36">
        <f t="shared" si="3"/>
        <v>1</v>
      </c>
      <c r="I54" s="22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70"/>
      <c r="E55" s="5"/>
      <c r="F55" s="198">
        <f t="shared" si="1"/>
        <v>44249</v>
      </c>
      <c r="G55" s="238" t="str">
        <f t="shared" si="0"/>
        <v>Mon</v>
      </c>
      <c r="H55" s="36">
        <f t="shared" si="3"/>
        <v>6</v>
      </c>
      <c r="I55" s="22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70"/>
      <c r="E56" s="5"/>
      <c r="F56" s="198">
        <f t="shared" si="1"/>
        <v>44250</v>
      </c>
      <c r="G56" s="238" t="str">
        <f t="shared" si="0"/>
        <v>Tue</v>
      </c>
      <c r="H56" s="36">
        <f t="shared" si="3"/>
        <v>6</v>
      </c>
      <c r="I56" s="22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70"/>
      <c r="E57" s="5"/>
      <c r="F57" s="198">
        <f t="shared" si="1"/>
        <v>44251</v>
      </c>
      <c r="G57" s="238" t="str">
        <f t="shared" si="0"/>
        <v>Wed</v>
      </c>
      <c r="H57" s="36">
        <f t="shared" si="3"/>
        <v>6</v>
      </c>
      <c r="I57" s="22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70"/>
      <c r="E58" s="5"/>
      <c r="F58" s="198">
        <f t="shared" si="1"/>
        <v>44252</v>
      </c>
      <c r="G58" s="238" t="str">
        <f t="shared" si="0"/>
        <v>Thu</v>
      </c>
      <c r="H58" s="36">
        <v>87</v>
      </c>
      <c r="I58" s="224" t="s">
        <v>209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70"/>
      <c r="E59" s="5"/>
      <c r="F59" s="198">
        <f t="shared" si="1"/>
        <v>44253</v>
      </c>
      <c r="G59" s="238" t="str">
        <f t="shared" si="0"/>
        <v>Fri</v>
      </c>
      <c r="H59" s="36">
        <f t="shared" ref="H59:H92" si="4">IF(G59="Sun",1,IF(G59="Sat",7,6))</f>
        <v>6</v>
      </c>
      <c r="I59" s="22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70"/>
      <c r="E60" s="5"/>
      <c r="F60" s="198">
        <f t="shared" si="1"/>
        <v>44254</v>
      </c>
      <c r="G60" s="238" t="str">
        <f t="shared" si="0"/>
        <v>Sat</v>
      </c>
      <c r="H60" s="36">
        <f t="shared" si="4"/>
        <v>7</v>
      </c>
      <c r="I60" s="22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70"/>
      <c r="E61" s="5"/>
      <c r="F61" s="198">
        <f t="shared" si="1"/>
        <v>44255</v>
      </c>
      <c r="G61" s="238" t="str">
        <f t="shared" si="0"/>
        <v>Sun</v>
      </c>
      <c r="H61" s="36">
        <f t="shared" si="4"/>
        <v>1</v>
      </c>
      <c r="I61" s="22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70"/>
      <c r="E62" s="5"/>
      <c r="F62" s="198">
        <f t="shared" si="1"/>
        <v>44256</v>
      </c>
      <c r="G62" s="238" t="str">
        <f t="shared" si="0"/>
        <v>Mon</v>
      </c>
      <c r="H62" s="36">
        <f t="shared" si="4"/>
        <v>6</v>
      </c>
      <c r="I62" s="22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70"/>
      <c r="E63" s="5"/>
      <c r="F63" s="198">
        <f t="shared" si="1"/>
        <v>44257</v>
      </c>
      <c r="G63" s="238" t="str">
        <f t="shared" si="0"/>
        <v>Tue</v>
      </c>
      <c r="H63" s="36">
        <f t="shared" si="4"/>
        <v>6</v>
      </c>
      <c r="I63" s="22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70"/>
      <c r="E64" s="5"/>
      <c r="F64" s="198">
        <f t="shared" si="1"/>
        <v>44258</v>
      </c>
      <c r="G64" s="238" t="str">
        <f t="shared" si="0"/>
        <v>Wed</v>
      </c>
      <c r="H64" s="36">
        <f t="shared" si="4"/>
        <v>6</v>
      </c>
      <c r="I64" s="22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70"/>
      <c r="E65" s="5"/>
      <c r="F65" s="198">
        <f t="shared" si="1"/>
        <v>44259</v>
      </c>
      <c r="G65" s="238" t="str">
        <f t="shared" si="0"/>
        <v>Thu</v>
      </c>
      <c r="H65" s="36">
        <f t="shared" si="4"/>
        <v>6</v>
      </c>
      <c r="I65" s="22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70"/>
      <c r="E66" s="5"/>
      <c r="F66" s="198">
        <f t="shared" si="1"/>
        <v>44260</v>
      </c>
      <c r="G66" s="238" t="str">
        <f t="shared" si="0"/>
        <v>Fri</v>
      </c>
      <c r="H66" s="36">
        <f t="shared" si="4"/>
        <v>6</v>
      </c>
      <c r="I66" s="22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70"/>
      <c r="E67" s="5"/>
      <c r="F67" s="198">
        <f t="shared" si="1"/>
        <v>44261</v>
      </c>
      <c r="G67" s="238" t="str">
        <f t="shared" si="0"/>
        <v>Sat</v>
      </c>
      <c r="H67" s="36">
        <f t="shared" si="4"/>
        <v>7</v>
      </c>
      <c r="I67" s="22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70"/>
      <c r="E68" s="5"/>
      <c r="F68" s="198">
        <f t="shared" si="1"/>
        <v>44262</v>
      </c>
      <c r="G68" s="238" t="str">
        <f t="shared" si="0"/>
        <v>Sun</v>
      </c>
      <c r="H68" s="36">
        <f t="shared" si="4"/>
        <v>1</v>
      </c>
      <c r="I68" s="22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70"/>
      <c r="E69" s="5"/>
      <c r="F69" s="198">
        <f t="shared" si="1"/>
        <v>44263</v>
      </c>
      <c r="G69" s="238" t="str">
        <f t="shared" si="0"/>
        <v>Mon</v>
      </c>
      <c r="H69" s="36">
        <f t="shared" si="4"/>
        <v>6</v>
      </c>
      <c r="I69" s="22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70"/>
      <c r="E70" s="5"/>
      <c r="F70" s="198">
        <f t="shared" si="1"/>
        <v>44264</v>
      </c>
      <c r="G70" s="238" t="str">
        <f t="shared" si="0"/>
        <v>Tue</v>
      </c>
      <c r="H70" s="36">
        <f t="shared" si="4"/>
        <v>6</v>
      </c>
      <c r="I70" s="22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70"/>
      <c r="E71" s="5"/>
      <c r="F71" s="198">
        <f t="shared" si="1"/>
        <v>44265</v>
      </c>
      <c r="G71" s="238" t="str">
        <f t="shared" si="0"/>
        <v>Wed</v>
      </c>
      <c r="H71" s="36">
        <f t="shared" si="4"/>
        <v>6</v>
      </c>
      <c r="I71" s="22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70"/>
      <c r="E72" s="5"/>
      <c r="F72" s="198">
        <f t="shared" si="1"/>
        <v>44266</v>
      </c>
      <c r="G72" s="238" t="str">
        <f t="shared" si="0"/>
        <v>Thu</v>
      </c>
      <c r="H72" s="36">
        <f t="shared" si="4"/>
        <v>6</v>
      </c>
      <c r="I72" s="22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70"/>
      <c r="E73" s="5"/>
      <c r="F73" s="198">
        <f t="shared" si="1"/>
        <v>44267</v>
      </c>
      <c r="G73" s="238" t="str">
        <f t="shared" si="0"/>
        <v>Fri</v>
      </c>
      <c r="H73" s="36">
        <f t="shared" si="4"/>
        <v>6</v>
      </c>
      <c r="I73" s="22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70"/>
      <c r="E74" s="5"/>
      <c r="F74" s="198">
        <f t="shared" si="1"/>
        <v>44268</v>
      </c>
      <c r="G74" s="238" t="str">
        <f t="shared" si="0"/>
        <v>Sat</v>
      </c>
      <c r="H74" s="36">
        <f t="shared" si="4"/>
        <v>7</v>
      </c>
      <c r="I74" s="22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70"/>
      <c r="E75" s="5"/>
      <c r="F75" s="198">
        <f t="shared" si="1"/>
        <v>44269</v>
      </c>
      <c r="G75" s="238" t="str">
        <f t="shared" si="0"/>
        <v>Sun</v>
      </c>
      <c r="H75" s="36">
        <f t="shared" si="4"/>
        <v>1</v>
      </c>
      <c r="I75" s="22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70"/>
      <c r="E76" s="5"/>
      <c r="F76" s="198">
        <f t="shared" si="1"/>
        <v>44270</v>
      </c>
      <c r="G76" s="238" t="str">
        <f t="shared" si="0"/>
        <v>Mon</v>
      </c>
      <c r="H76" s="36">
        <f t="shared" si="4"/>
        <v>6</v>
      </c>
      <c r="I76" s="22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70"/>
      <c r="E77" s="5"/>
      <c r="F77" s="198">
        <f t="shared" si="1"/>
        <v>44271</v>
      </c>
      <c r="G77" s="238" t="str">
        <f t="shared" si="0"/>
        <v>Tue</v>
      </c>
      <c r="H77" s="36">
        <f t="shared" si="4"/>
        <v>6</v>
      </c>
      <c r="I77" s="22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70"/>
      <c r="E78" s="5"/>
      <c r="F78" s="198">
        <f t="shared" si="1"/>
        <v>44272</v>
      </c>
      <c r="G78" s="238" t="str">
        <f t="shared" si="0"/>
        <v>Wed</v>
      </c>
      <c r="H78" s="36">
        <f t="shared" si="4"/>
        <v>6</v>
      </c>
      <c r="I78" s="22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70"/>
      <c r="E79" s="5"/>
      <c r="F79" s="198">
        <f t="shared" si="1"/>
        <v>44273</v>
      </c>
      <c r="G79" s="238" t="str">
        <f t="shared" si="0"/>
        <v>Thu</v>
      </c>
      <c r="H79" s="36">
        <f t="shared" si="4"/>
        <v>6</v>
      </c>
      <c r="I79" s="22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70"/>
      <c r="E80" s="5"/>
      <c r="F80" s="198">
        <f t="shared" si="1"/>
        <v>44274</v>
      </c>
      <c r="G80" s="238" t="str">
        <f t="shared" si="0"/>
        <v>Fri</v>
      </c>
      <c r="H80" s="36">
        <f t="shared" si="4"/>
        <v>6</v>
      </c>
      <c r="I80" s="22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70"/>
      <c r="E81" s="5"/>
      <c r="F81" s="198">
        <f t="shared" si="1"/>
        <v>44275</v>
      </c>
      <c r="G81" s="238" t="str">
        <f t="shared" si="0"/>
        <v>Sat</v>
      </c>
      <c r="H81" s="36">
        <f t="shared" si="4"/>
        <v>7</v>
      </c>
      <c r="I81" s="22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70"/>
      <c r="E82" s="5"/>
      <c r="F82" s="198">
        <f t="shared" si="1"/>
        <v>44276</v>
      </c>
      <c r="G82" s="238" t="str">
        <f t="shared" si="0"/>
        <v>Sun</v>
      </c>
      <c r="H82" s="36">
        <f t="shared" si="4"/>
        <v>1</v>
      </c>
      <c r="I82" s="22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70"/>
      <c r="E83" s="5"/>
      <c r="F83" s="198">
        <f t="shared" si="1"/>
        <v>44277</v>
      </c>
      <c r="G83" s="238" t="str">
        <f t="shared" si="0"/>
        <v>Mon</v>
      </c>
      <c r="H83" s="36">
        <f t="shared" si="4"/>
        <v>6</v>
      </c>
      <c r="I83" s="22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70"/>
      <c r="E84" s="5"/>
      <c r="F84" s="198">
        <f t="shared" si="1"/>
        <v>44278</v>
      </c>
      <c r="G84" s="238" t="str">
        <f t="shared" si="0"/>
        <v>Tue</v>
      </c>
      <c r="H84" s="36">
        <f t="shared" si="4"/>
        <v>6</v>
      </c>
      <c r="I84" s="22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70"/>
      <c r="E85" s="5"/>
      <c r="F85" s="198">
        <f t="shared" si="1"/>
        <v>44279</v>
      </c>
      <c r="G85" s="238" t="str">
        <f t="shared" si="0"/>
        <v>Wed</v>
      </c>
      <c r="H85" s="36">
        <f t="shared" si="4"/>
        <v>6</v>
      </c>
      <c r="I85" s="22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70"/>
      <c r="E86" s="5"/>
      <c r="F86" s="198">
        <f t="shared" si="1"/>
        <v>44280</v>
      </c>
      <c r="G86" s="238" t="str">
        <f t="shared" si="0"/>
        <v>Thu</v>
      </c>
      <c r="H86" s="36">
        <f t="shared" si="4"/>
        <v>6</v>
      </c>
      <c r="I86" s="22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70"/>
      <c r="E87" s="5"/>
      <c r="F87" s="198">
        <f t="shared" si="1"/>
        <v>44281</v>
      </c>
      <c r="G87" s="238" t="str">
        <f t="shared" si="0"/>
        <v>Fri</v>
      </c>
      <c r="H87" s="36">
        <f t="shared" si="4"/>
        <v>6</v>
      </c>
      <c r="I87" s="22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70"/>
      <c r="E88" s="5"/>
      <c r="F88" s="198">
        <f t="shared" si="1"/>
        <v>44282</v>
      </c>
      <c r="G88" s="238" t="str">
        <f t="shared" si="0"/>
        <v>Sat</v>
      </c>
      <c r="H88" s="36">
        <f t="shared" si="4"/>
        <v>7</v>
      </c>
      <c r="I88" s="22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70"/>
      <c r="E89" s="5"/>
      <c r="F89" s="198">
        <f t="shared" si="1"/>
        <v>44283</v>
      </c>
      <c r="G89" s="238" t="str">
        <f t="shared" si="0"/>
        <v>Sun</v>
      </c>
      <c r="H89" s="36">
        <f t="shared" si="4"/>
        <v>1</v>
      </c>
      <c r="I89" s="22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70"/>
      <c r="E90" s="5"/>
      <c r="F90" s="198">
        <f t="shared" si="1"/>
        <v>44284</v>
      </c>
      <c r="G90" s="238" t="str">
        <f t="shared" si="0"/>
        <v>Mon</v>
      </c>
      <c r="H90" s="36">
        <f t="shared" si="4"/>
        <v>6</v>
      </c>
      <c r="I90" s="22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70"/>
      <c r="E91" s="5"/>
      <c r="F91" s="198">
        <f t="shared" si="1"/>
        <v>44285</v>
      </c>
      <c r="G91" s="238" t="str">
        <f t="shared" si="0"/>
        <v>Tue</v>
      </c>
      <c r="H91" s="36">
        <f t="shared" si="4"/>
        <v>6</v>
      </c>
      <c r="I91" s="22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70"/>
      <c r="E92" s="5"/>
      <c r="F92" s="198">
        <f t="shared" si="1"/>
        <v>44286</v>
      </c>
      <c r="G92" s="238" t="str">
        <f t="shared" si="0"/>
        <v>Wed</v>
      </c>
      <c r="H92" s="36">
        <f t="shared" si="4"/>
        <v>6</v>
      </c>
      <c r="I92" s="22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70"/>
      <c r="E93" s="5"/>
      <c r="F93" s="198">
        <f t="shared" si="1"/>
        <v>44287</v>
      </c>
      <c r="G93" s="238" t="str">
        <f t="shared" si="0"/>
        <v>Thu</v>
      </c>
      <c r="H93" s="36">
        <v>97</v>
      </c>
      <c r="I93" s="224" t="s">
        <v>210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70"/>
      <c r="E94" s="5"/>
      <c r="F94" s="198">
        <f t="shared" si="1"/>
        <v>44288</v>
      </c>
      <c r="G94" s="238" t="str">
        <f t="shared" si="0"/>
        <v>Fri</v>
      </c>
      <c r="H94" s="36">
        <v>97</v>
      </c>
      <c r="I94" s="224" t="s">
        <v>211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70"/>
      <c r="E95" s="5"/>
      <c r="F95" s="198">
        <f t="shared" si="1"/>
        <v>44289</v>
      </c>
      <c r="G95" s="238" t="str">
        <f t="shared" si="0"/>
        <v>Sat</v>
      </c>
      <c r="H95" s="36">
        <v>87</v>
      </c>
      <c r="I95" s="224" t="s">
        <v>212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70"/>
      <c r="E96" s="5"/>
      <c r="F96" s="198">
        <f t="shared" si="1"/>
        <v>44290</v>
      </c>
      <c r="G96" s="238" t="str">
        <f t="shared" si="0"/>
        <v>Sun</v>
      </c>
      <c r="H96" s="36">
        <f>IF(G96="Sun",1,IF(G96="Sat",7,6))</f>
        <v>1</v>
      </c>
      <c r="I96" s="22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70"/>
      <c r="E97" s="5"/>
      <c r="F97" s="198">
        <f t="shared" si="1"/>
        <v>44291</v>
      </c>
      <c r="G97" s="238" t="str">
        <f t="shared" si="0"/>
        <v>Mon</v>
      </c>
      <c r="H97" s="36">
        <f>IF(G97="Sun",1,IF(G97="Sat",7,6))</f>
        <v>6</v>
      </c>
      <c r="I97" s="22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70"/>
      <c r="E98" s="5"/>
      <c r="F98" s="198">
        <f t="shared" si="1"/>
        <v>44292</v>
      </c>
      <c r="G98" s="238" t="str">
        <f t="shared" si="0"/>
        <v>Tue</v>
      </c>
      <c r="H98" s="36">
        <f>IF(G98="Sun",1,IF(G98="Sat",7,6))</f>
        <v>6</v>
      </c>
      <c r="I98" s="22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70"/>
      <c r="E99" s="5"/>
      <c r="F99" s="198">
        <f t="shared" si="1"/>
        <v>44293</v>
      </c>
      <c r="G99" s="238" t="str">
        <f t="shared" si="0"/>
        <v>Wed</v>
      </c>
      <c r="H99" s="36">
        <f>IF(G99="Sun",1,IF(G99="Sat",7,6))</f>
        <v>6</v>
      </c>
      <c r="I99" s="22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70"/>
      <c r="E100" s="5"/>
      <c r="F100" s="198">
        <f t="shared" si="1"/>
        <v>44294</v>
      </c>
      <c r="G100" s="238" t="str">
        <f t="shared" si="0"/>
        <v>Thu</v>
      </c>
      <c r="H100" s="36">
        <f>IF(G100="Sun",1,IF(G100="Sat",7,6))</f>
        <v>6</v>
      </c>
      <c r="I100" s="22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70"/>
      <c r="E101" s="5"/>
      <c r="F101" s="198">
        <f t="shared" si="1"/>
        <v>44295</v>
      </c>
      <c r="G101" s="238" t="str">
        <f t="shared" si="0"/>
        <v>Fri</v>
      </c>
      <c r="H101" s="36">
        <v>6</v>
      </c>
      <c r="I101" s="22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70"/>
      <c r="E102" s="5"/>
      <c r="F102" s="198">
        <f t="shared" si="1"/>
        <v>44296</v>
      </c>
      <c r="G102" s="238" t="str">
        <f t="shared" si="0"/>
        <v>Sat</v>
      </c>
      <c r="H102" s="36">
        <v>97</v>
      </c>
      <c r="I102" s="224" t="s">
        <v>213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70"/>
      <c r="E103" s="5"/>
      <c r="F103" s="198">
        <f t="shared" si="1"/>
        <v>44297</v>
      </c>
      <c r="G103" s="238" t="str">
        <f t="shared" si="0"/>
        <v>Sun</v>
      </c>
      <c r="H103" s="36">
        <f t="shared" ref="H103:H122" si="5">IF(G103="Sun",1,IF(G103="Sat",7,6))</f>
        <v>1</v>
      </c>
      <c r="I103" s="22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70"/>
      <c r="E104" s="5"/>
      <c r="F104" s="198">
        <f t="shared" si="1"/>
        <v>44298</v>
      </c>
      <c r="G104" s="238" t="str">
        <f t="shared" si="0"/>
        <v>Mon</v>
      </c>
      <c r="H104" s="36">
        <f t="shared" si="5"/>
        <v>6</v>
      </c>
      <c r="I104" s="22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70"/>
      <c r="E105" s="5"/>
      <c r="F105" s="198">
        <f t="shared" si="1"/>
        <v>44299</v>
      </c>
      <c r="G105" s="238" t="str">
        <f t="shared" si="0"/>
        <v>Tue</v>
      </c>
      <c r="H105" s="36">
        <f t="shared" si="5"/>
        <v>6</v>
      </c>
      <c r="I105" s="22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70"/>
      <c r="E106" s="5"/>
      <c r="F106" s="198">
        <f t="shared" si="1"/>
        <v>44300</v>
      </c>
      <c r="G106" s="238" t="str">
        <f t="shared" si="0"/>
        <v>Wed</v>
      </c>
      <c r="H106" s="36">
        <f t="shared" si="5"/>
        <v>6</v>
      </c>
      <c r="I106" s="22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70"/>
      <c r="E107" s="5"/>
      <c r="F107" s="198">
        <f t="shared" si="1"/>
        <v>44301</v>
      </c>
      <c r="G107" s="238" t="str">
        <f t="shared" si="0"/>
        <v>Thu</v>
      </c>
      <c r="H107" s="36">
        <f t="shared" si="5"/>
        <v>6</v>
      </c>
      <c r="I107" s="22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70"/>
      <c r="E108" s="5"/>
      <c r="F108" s="198">
        <f t="shared" si="1"/>
        <v>44302</v>
      </c>
      <c r="G108" s="238" t="str">
        <f t="shared" si="0"/>
        <v>Fri</v>
      </c>
      <c r="H108" s="36">
        <f t="shared" si="5"/>
        <v>6</v>
      </c>
      <c r="I108" s="22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70"/>
      <c r="E109" s="5"/>
      <c r="F109" s="198">
        <f t="shared" si="1"/>
        <v>44303</v>
      </c>
      <c r="G109" s="238" t="str">
        <f t="shared" si="0"/>
        <v>Sat</v>
      </c>
      <c r="H109" s="36">
        <f t="shared" si="5"/>
        <v>7</v>
      </c>
      <c r="I109" s="22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70"/>
      <c r="E110" s="5"/>
      <c r="F110" s="198">
        <f t="shared" si="1"/>
        <v>44304</v>
      </c>
      <c r="G110" s="238" t="str">
        <f t="shared" si="0"/>
        <v>Sun</v>
      </c>
      <c r="H110" s="36">
        <f t="shared" si="5"/>
        <v>1</v>
      </c>
      <c r="I110" s="22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70"/>
      <c r="E111" s="5"/>
      <c r="F111" s="198">
        <f t="shared" si="1"/>
        <v>44305</v>
      </c>
      <c r="G111" s="238" t="str">
        <f t="shared" si="0"/>
        <v>Mon</v>
      </c>
      <c r="H111" s="36">
        <f t="shared" si="5"/>
        <v>6</v>
      </c>
      <c r="I111" s="22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70"/>
      <c r="E112" s="5"/>
      <c r="F112" s="198">
        <f t="shared" si="1"/>
        <v>44306</v>
      </c>
      <c r="G112" s="238" t="str">
        <f t="shared" si="0"/>
        <v>Tue</v>
      </c>
      <c r="H112" s="36">
        <f t="shared" si="5"/>
        <v>6</v>
      </c>
      <c r="I112" s="22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70"/>
      <c r="E113" s="5"/>
      <c r="F113" s="198">
        <f t="shared" si="1"/>
        <v>44307</v>
      </c>
      <c r="G113" s="238" t="str">
        <f t="shared" si="0"/>
        <v>Wed</v>
      </c>
      <c r="H113" s="36">
        <f t="shared" si="5"/>
        <v>6</v>
      </c>
      <c r="I113" s="22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70"/>
      <c r="E114" s="5"/>
      <c r="F114" s="198">
        <f t="shared" si="1"/>
        <v>44308</v>
      </c>
      <c r="G114" s="238" t="str">
        <f t="shared" si="0"/>
        <v>Thu</v>
      </c>
      <c r="H114" s="36">
        <f t="shared" si="5"/>
        <v>6</v>
      </c>
      <c r="I114" s="22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70"/>
      <c r="E115" s="5"/>
      <c r="F115" s="198">
        <f t="shared" si="1"/>
        <v>44309</v>
      </c>
      <c r="G115" s="238" t="str">
        <f t="shared" si="0"/>
        <v>Fri</v>
      </c>
      <c r="H115" s="36">
        <f t="shared" si="5"/>
        <v>6</v>
      </c>
      <c r="I115" s="22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70"/>
      <c r="E116" s="5"/>
      <c r="F116" s="198">
        <f t="shared" si="1"/>
        <v>44310</v>
      </c>
      <c r="G116" s="238" t="str">
        <f t="shared" si="0"/>
        <v>Sat</v>
      </c>
      <c r="H116" s="36">
        <f t="shared" si="5"/>
        <v>7</v>
      </c>
      <c r="I116" s="22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70"/>
      <c r="E117" s="5"/>
      <c r="F117" s="198">
        <f t="shared" si="1"/>
        <v>44311</v>
      </c>
      <c r="G117" s="238" t="str">
        <f t="shared" si="0"/>
        <v>Sun</v>
      </c>
      <c r="H117" s="36">
        <f t="shared" si="5"/>
        <v>1</v>
      </c>
      <c r="I117" s="22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70"/>
      <c r="E118" s="5"/>
      <c r="F118" s="198">
        <f t="shared" si="1"/>
        <v>44312</v>
      </c>
      <c r="G118" s="238" t="str">
        <f t="shared" si="0"/>
        <v>Mon</v>
      </c>
      <c r="H118" s="36">
        <f t="shared" si="5"/>
        <v>6</v>
      </c>
      <c r="I118" s="22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70"/>
      <c r="E119" s="5"/>
      <c r="F119" s="198">
        <f t="shared" si="1"/>
        <v>44313</v>
      </c>
      <c r="G119" s="238" t="str">
        <f t="shared" si="0"/>
        <v>Tue</v>
      </c>
      <c r="H119" s="36">
        <f t="shared" si="5"/>
        <v>6</v>
      </c>
      <c r="I119" s="22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70"/>
      <c r="E120" s="5"/>
      <c r="F120" s="198">
        <f t="shared" si="1"/>
        <v>44314</v>
      </c>
      <c r="G120" s="238" t="str">
        <f t="shared" si="0"/>
        <v>Wed</v>
      </c>
      <c r="H120" s="36">
        <f t="shared" si="5"/>
        <v>6</v>
      </c>
      <c r="I120" s="22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70"/>
      <c r="E121" s="5"/>
      <c r="F121" s="198">
        <f t="shared" si="1"/>
        <v>44315</v>
      </c>
      <c r="G121" s="238" t="str">
        <f t="shared" si="0"/>
        <v>Thu</v>
      </c>
      <c r="H121" s="36">
        <f t="shared" si="5"/>
        <v>6</v>
      </c>
      <c r="I121" s="22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70"/>
      <c r="E122" s="5"/>
      <c r="F122" s="198">
        <f t="shared" si="1"/>
        <v>44316</v>
      </c>
      <c r="G122" s="238" t="str">
        <f t="shared" si="0"/>
        <v>Fri</v>
      </c>
      <c r="H122" s="36">
        <f t="shared" si="5"/>
        <v>6</v>
      </c>
      <c r="I122" s="22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70"/>
      <c r="E123" s="5"/>
      <c r="F123" s="198">
        <f t="shared" si="1"/>
        <v>44317</v>
      </c>
      <c r="G123" s="238" t="str">
        <f t="shared" si="0"/>
        <v>Sat</v>
      </c>
      <c r="H123" s="36">
        <v>97</v>
      </c>
      <c r="I123" s="224" t="s">
        <v>214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70"/>
      <c r="E124" s="5"/>
      <c r="F124" s="198">
        <f t="shared" si="1"/>
        <v>44318</v>
      </c>
      <c r="G124" s="238" t="str">
        <f t="shared" si="0"/>
        <v>Sun</v>
      </c>
      <c r="H124" s="36">
        <f t="shared" ref="H124:H164" si="6">IF(G124="Sun",1,IF(G124="Sat",7,6))</f>
        <v>1</v>
      </c>
      <c r="I124" s="22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70"/>
      <c r="E125" s="5"/>
      <c r="F125" s="198">
        <f t="shared" si="1"/>
        <v>44319</v>
      </c>
      <c r="G125" s="238" t="str">
        <f t="shared" si="0"/>
        <v>Mon</v>
      </c>
      <c r="H125" s="36">
        <f t="shared" si="6"/>
        <v>6</v>
      </c>
      <c r="I125" s="22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70"/>
      <c r="E126" s="5"/>
      <c r="F126" s="198">
        <f t="shared" si="1"/>
        <v>44320</v>
      </c>
      <c r="G126" s="238" t="str">
        <f t="shared" si="0"/>
        <v>Tue</v>
      </c>
      <c r="H126" s="36">
        <f t="shared" si="6"/>
        <v>6</v>
      </c>
      <c r="I126" s="22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70"/>
      <c r="E127" s="5"/>
      <c r="F127" s="198">
        <f t="shared" si="1"/>
        <v>44321</v>
      </c>
      <c r="G127" s="238" t="str">
        <f t="shared" si="0"/>
        <v>Wed</v>
      </c>
      <c r="H127" s="36">
        <f t="shared" si="6"/>
        <v>6</v>
      </c>
      <c r="I127" s="22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70"/>
      <c r="E128" s="5"/>
      <c r="F128" s="198">
        <f t="shared" si="1"/>
        <v>44322</v>
      </c>
      <c r="G128" s="238" t="str">
        <f t="shared" si="0"/>
        <v>Thu</v>
      </c>
      <c r="H128" s="36">
        <f t="shared" si="6"/>
        <v>6</v>
      </c>
      <c r="I128" s="22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70"/>
      <c r="E129" s="5"/>
      <c r="F129" s="198">
        <f t="shared" si="1"/>
        <v>44323</v>
      </c>
      <c r="G129" s="238" t="str">
        <f t="shared" si="0"/>
        <v>Fri</v>
      </c>
      <c r="H129" s="36">
        <f t="shared" si="6"/>
        <v>6</v>
      </c>
      <c r="I129" s="22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70"/>
      <c r="E130" s="5"/>
      <c r="F130" s="198">
        <f t="shared" si="1"/>
        <v>44324</v>
      </c>
      <c r="G130" s="238" t="str">
        <f t="shared" si="0"/>
        <v>Sat</v>
      </c>
      <c r="H130" s="36">
        <f t="shared" si="6"/>
        <v>7</v>
      </c>
      <c r="I130" s="22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70"/>
      <c r="E131" s="5"/>
      <c r="F131" s="198">
        <f t="shared" si="1"/>
        <v>44325</v>
      </c>
      <c r="G131" s="238" t="str">
        <f t="shared" si="0"/>
        <v>Sun</v>
      </c>
      <c r="H131" s="36">
        <f t="shared" si="6"/>
        <v>1</v>
      </c>
      <c r="I131" s="22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70"/>
      <c r="E132" s="5"/>
      <c r="F132" s="198">
        <f t="shared" si="1"/>
        <v>44326</v>
      </c>
      <c r="G132" s="238" t="str">
        <f t="shared" si="0"/>
        <v>Mon</v>
      </c>
      <c r="H132" s="36">
        <f t="shared" si="6"/>
        <v>6</v>
      </c>
      <c r="I132" s="22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70"/>
      <c r="E133" s="5"/>
      <c r="F133" s="198">
        <f t="shared" si="1"/>
        <v>44327</v>
      </c>
      <c r="G133" s="238" t="str">
        <f t="shared" si="0"/>
        <v>Tue</v>
      </c>
      <c r="H133" s="36">
        <f t="shared" si="6"/>
        <v>6</v>
      </c>
      <c r="I133" s="22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70"/>
      <c r="E134" s="5"/>
      <c r="F134" s="198">
        <f t="shared" si="1"/>
        <v>44328</v>
      </c>
      <c r="G134" s="238" t="str">
        <f t="shared" si="0"/>
        <v>Wed</v>
      </c>
      <c r="H134" s="36">
        <f t="shared" si="6"/>
        <v>6</v>
      </c>
      <c r="I134" s="22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70"/>
      <c r="E135" s="5"/>
      <c r="F135" s="198">
        <f t="shared" si="1"/>
        <v>44329</v>
      </c>
      <c r="G135" s="238" t="str">
        <f t="shared" si="0"/>
        <v>Thu</v>
      </c>
      <c r="H135" s="36">
        <f t="shared" si="6"/>
        <v>6</v>
      </c>
      <c r="I135" s="22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70"/>
      <c r="E136" s="5"/>
      <c r="F136" s="198">
        <f t="shared" si="1"/>
        <v>44330</v>
      </c>
      <c r="G136" s="238" t="str">
        <f t="shared" si="0"/>
        <v>Fri</v>
      </c>
      <c r="H136" s="36">
        <f t="shared" si="6"/>
        <v>6</v>
      </c>
      <c r="I136" s="22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70"/>
      <c r="E137" s="5"/>
      <c r="F137" s="198">
        <f t="shared" si="1"/>
        <v>44331</v>
      </c>
      <c r="G137" s="238" t="str">
        <f t="shared" si="0"/>
        <v>Sat</v>
      </c>
      <c r="H137" s="36">
        <f t="shared" si="6"/>
        <v>7</v>
      </c>
      <c r="I137" s="22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70"/>
      <c r="E138" s="5"/>
      <c r="F138" s="198">
        <f t="shared" si="1"/>
        <v>44332</v>
      </c>
      <c r="G138" s="238" t="str">
        <f t="shared" si="0"/>
        <v>Sun</v>
      </c>
      <c r="H138" s="36">
        <f t="shared" si="6"/>
        <v>1</v>
      </c>
      <c r="I138" s="22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70"/>
      <c r="E139" s="5"/>
      <c r="F139" s="198">
        <f t="shared" si="1"/>
        <v>44333</v>
      </c>
      <c r="G139" s="238" t="str">
        <f t="shared" si="0"/>
        <v>Mon</v>
      </c>
      <c r="H139" s="36">
        <f t="shared" si="6"/>
        <v>6</v>
      </c>
      <c r="I139" s="22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70"/>
      <c r="E140" s="5"/>
      <c r="F140" s="198">
        <f t="shared" si="1"/>
        <v>44334</v>
      </c>
      <c r="G140" s="238" t="str">
        <f t="shared" si="0"/>
        <v>Tue</v>
      </c>
      <c r="H140" s="36">
        <f t="shared" si="6"/>
        <v>6</v>
      </c>
      <c r="I140" s="22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70"/>
      <c r="E141" s="5"/>
      <c r="F141" s="198">
        <f t="shared" si="1"/>
        <v>44335</v>
      </c>
      <c r="G141" s="238" t="str">
        <f t="shared" si="0"/>
        <v>Wed</v>
      </c>
      <c r="H141" s="36">
        <f t="shared" si="6"/>
        <v>6</v>
      </c>
      <c r="I141" s="22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70"/>
      <c r="E142" s="5"/>
      <c r="F142" s="198">
        <f t="shared" si="1"/>
        <v>44336</v>
      </c>
      <c r="G142" s="238" t="str">
        <f t="shared" si="0"/>
        <v>Thu</v>
      </c>
      <c r="H142" s="36">
        <f t="shared" si="6"/>
        <v>6</v>
      </c>
      <c r="I142" s="22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70"/>
      <c r="E143" s="5"/>
      <c r="F143" s="198">
        <f t="shared" si="1"/>
        <v>44337</v>
      </c>
      <c r="G143" s="238" t="str">
        <f t="shared" si="0"/>
        <v>Fri</v>
      </c>
      <c r="H143" s="36">
        <f t="shared" si="6"/>
        <v>6</v>
      </c>
      <c r="I143" s="22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70"/>
      <c r="E144" s="5"/>
      <c r="F144" s="198">
        <f t="shared" si="1"/>
        <v>44338</v>
      </c>
      <c r="G144" s="238" t="str">
        <f t="shared" si="0"/>
        <v>Sat</v>
      </c>
      <c r="H144" s="36">
        <f t="shared" si="6"/>
        <v>7</v>
      </c>
      <c r="I144" s="22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70"/>
      <c r="E145" s="5"/>
      <c r="F145" s="198">
        <f t="shared" si="1"/>
        <v>44339</v>
      </c>
      <c r="G145" s="238" t="str">
        <f t="shared" si="0"/>
        <v>Sun</v>
      </c>
      <c r="H145" s="36">
        <f t="shared" si="6"/>
        <v>1</v>
      </c>
      <c r="I145" s="22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70"/>
      <c r="E146" s="5"/>
      <c r="F146" s="198">
        <f t="shared" si="1"/>
        <v>44340</v>
      </c>
      <c r="G146" s="238" t="str">
        <f t="shared" si="0"/>
        <v>Mon</v>
      </c>
      <c r="H146" s="36">
        <f t="shared" si="6"/>
        <v>6</v>
      </c>
      <c r="I146" s="22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70"/>
      <c r="E147" s="5"/>
      <c r="F147" s="198">
        <f t="shared" si="1"/>
        <v>44341</v>
      </c>
      <c r="G147" s="238" t="str">
        <f t="shared" si="0"/>
        <v>Tue</v>
      </c>
      <c r="H147" s="36">
        <f t="shared" si="6"/>
        <v>6</v>
      </c>
      <c r="I147" s="22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70"/>
      <c r="E148" s="5"/>
      <c r="F148" s="198">
        <f t="shared" si="1"/>
        <v>44342</v>
      </c>
      <c r="G148" s="238" t="str">
        <f t="shared" si="0"/>
        <v>Wed</v>
      </c>
      <c r="H148" s="36">
        <f t="shared" si="6"/>
        <v>6</v>
      </c>
      <c r="I148" s="22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70"/>
      <c r="E149" s="5"/>
      <c r="F149" s="198">
        <f t="shared" si="1"/>
        <v>44343</v>
      </c>
      <c r="G149" s="238" t="str">
        <f t="shared" si="0"/>
        <v>Thu</v>
      </c>
      <c r="H149" s="36">
        <f t="shared" si="6"/>
        <v>6</v>
      </c>
      <c r="I149" s="22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70"/>
      <c r="E150" s="5"/>
      <c r="F150" s="198">
        <f t="shared" si="1"/>
        <v>44344</v>
      </c>
      <c r="G150" s="238" t="str">
        <f t="shared" si="0"/>
        <v>Fri</v>
      </c>
      <c r="H150" s="36">
        <f t="shared" si="6"/>
        <v>6</v>
      </c>
      <c r="I150" s="22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70"/>
      <c r="E151" s="5"/>
      <c r="F151" s="198">
        <f t="shared" si="1"/>
        <v>44345</v>
      </c>
      <c r="G151" s="238" t="str">
        <f t="shared" si="0"/>
        <v>Sat</v>
      </c>
      <c r="H151" s="36">
        <f t="shared" si="6"/>
        <v>7</v>
      </c>
      <c r="I151" s="22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70"/>
      <c r="E152" s="5"/>
      <c r="F152" s="198">
        <f t="shared" si="1"/>
        <v>44346</v>
      </c>
      <c r="G152" s="238" t="str">
        <f t="shared" si="0"/>
        <v>Sun</v>
      </c>
      <c r="H152" s="36">
        <f t="shared" si="6"/>
        <v>1</v>
      </c>
      <c r="I152" s="22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70"/>
      <c r="E153" s="5"/>
      <c r="F153" s="198">
        <f t="shared" si="1"/>
        <v>44347</v>
      </c>
      <c r="G153" s="238" t="str">
        <f t="shared" si="0"/>
        <v>Mon</v>
      </c>
      <c r="H153" s="36">
        <f t="shared" si="6"/>
        <v>6</v>
      </c>
      <c r="I153" s="22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70"/>
      <c r="E154" s="5"/>
      <c r="F154" s="198">
        <f t="shared" si="1"/>
        <v>44348</v>
      </c>
      <c r="G154" s="238" t="str">
        <f t="shared" si="0"/>
        <v>Tue</v>
      </c>
      <c r="H154" s="36">
        <f t="shared" si="6"/>
        <v>6</v>
      </c>
      <c r="I154" s="22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70"/>
      <c r="E155" s="5"/>
      <c r="F155" s="198">
        <f t="shared" si="1"/>
        <v>44349</v>
      </c>
      <c r="G155" s="238" t="str">
        <f t="shared" si="0"/>
        <v>Wed</v>
      </c>
      <c r="H155" s="36">
        <f t="shared" si="6"/>
        <v>6</v>
      </c>
      <c r="I155" s="22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70"/>
      <c r="E156" s="5"/>
      <c r="F156" s="198">
        <f t="shared" si="1"/>
        <v>44350</v>
      </c>
      <c r="G156" s="238" t="str">
        <f t="shared" si="0"/>
        <v>Thu</v>
      </c>
      <c r="H156" s="36">
        <f t="shared" si="6"/>
        <v>6</v>
      </c>
      <c r="I156" s="22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70"/>
      <c r="E157" s="5"/>
      <c r="F157" s="198">
        <f t="shared" si="1"/>
        <v>44351</v>
      </c>
      <c r="G157" s="238" t="str">
        <f t="shared" si="0"/>
        <v>Fri</v>
      </c>
      <c r="H157" s="36">
        <f t="shared" si="6"/>
        <v>6</v>
      </c>
      <c r="I157" s="22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70"/>
      <c r="E158" s="5"/>
      <c r="F158" s="198">
        <f t="shared" si="1"/>
        <v>44352</v>
      </c>
      <c r="G158" s="238" t="str">
        <f t="shared" si="0"/>
        <v>Sat</v>
      </c>
      <c r="H158" s="36">
        <f t="shared" si="6"/>
        <v>7</v>
      </c>
      <c r="I158" s="22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70"/>
      <c r="E159" s="5"/>
      <c r="F159" s="198">
        <f t="shared" si="1"/>
        <v>44353</v>
      </c>
      <c r="G159" s="238" t="str">
        <f t="shared" si="0"/>
        <v>Sun</v>
      </c>
      <c r="H159" s="36">
        <f t="shared" si="6"/>
        <v>1</v>
      </c>
      <c r="I159" s="22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70"/>
      <c r="E160" s="5"/>
      <c r="F160" s="198">
        <f t="shared" si="1"/>
        <v>44354</v>
      </c>
      <c r="G160" s="238" t="str">
        <f t="shared" si="0"/>
        <v>Mon</v>
      </c>
      <c r="H160" s="36">
        <f t="shared" si="6"/>
        <v>6</v>
      </c>
      <c r="I160" s="22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70"/>
      <c r="E161" s="5"/>
      <c r="F161" s="198">
        <f t="shared" si="1"/>
        <v>44355</v>
      </c>
      <c r="G161" s="238" t="str">
        <f t="shared" si="0"/>
        <v>Tue</v>
      </c>
      <c r="H161" s="36">
        <f t="shared" si="6"/>
        <v>6</v>
      </c>
      <c r="I161" s="22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70"/>
      <c r="E162" s="5"/>
      <c r="F162" s="198">
        <f t="shared" si="1"/>
        <v>44356</v>
      </c>
      <c r="G162" s="238" t="str">
        <f t="shared" si="0"/>
        <v>Wed</v>
      </c>
      <c r="H162" s="36">
        <f t="shared" si="6"/>
        <v>6</v>
      </c>
      <c r="I162" s="22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70"/>
      <c r="E163" s="5"/>
      <c r="F163" s="198">
        <f t="shared" si="1"/>
        <v>44357</v>
      </c>
      <c r="G163" s="238" t="str">
        <f t="shared" si="0"/>
        <v>Thu</v>
      </c>
      <c r="H163" s="36">
        <f t="shared" si="6"/>
        <v>6</v>
      </c>
      <c r="I163" s="22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70"/>
      <c r="E164" s="5"/>
      <c r="F164" s="198">
        <f t="shared" si="1"/>
        <v>44358</v>
      </c>
      <c r="G164" s="238" t="str">
        <f t="shared" si="0"/>
        <v>Fri</v>
      </c>
      <c r="H164" s="36">
        <f t="shared" si="6"/>
        <v>6</v>
      </c>
      <c r="I164" s="22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70"/>
      <c r="E165" s="5"/>
      <c r="F165" s="198">
        <f t="shared" si="1"/>
        <v>44359</v>
      </c>
      <c r="G165" s="238" t="str">
        <f t="shared" si="0"/>
        <v>Sat</v>
      </c>
      <c r="H165" s="36">
        <v>97</v>
      </c>
      <c r="I165" s="224" t="s">
        <v>215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70"/>
      <c r="E166" s="5"/>
      <c r="F166" s="198">
        <f t="shared" si="1"/>
        <v>44360</v>
      </c>
      <c r="G166" s="238" t="str">
        <f t="shared" si="0"/>
        <v>Sun</v>
      </c>
      <c r="H166" s="36">
        <f t="shared" ref="H166:H234" si="7">IF(G166="Sun",1,IF(G166="Sat",7,6))</f>
        <v>1</v>
      </c>
      <c r="I166" s="22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70"/>
      <c r="E167" s="5"/>
      <c r="F167" s="198">
        <f t="shared" si="1"/>
        <v>44361</v>
      </c>
      <c r="G167" s="238" t="str">
        <f t="shared" si="0"/>
        <v>Mon</v>
      </c>
      <c r="H167" s="36">
        <f t="shared" si="7"/>
        <v>6</v>
      </c>
      <c r="I167" s="22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70"/>
      <c r="E168" s="5"/>
      <c r="F168" s="198">
        <f t="shared" si="1"/>
        <v>44362</v>
      </c>
      <c r="G168" s="238" t="str">
        <f t="shared" si="0"/>
        <v>Tue</v>
      </c>
      <c r="H168" s="36">
        <f t="shared" si="7"/>
        <v>6</v>
      </c>
      <c r="I168" s="22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70"/>
      <c r="E169" s="5"/>
      <c r="F169" s="198">
        <f t="shared" si="1"/>
        <v>44363</v>
      </c>
      <c r="G169" s="238" t="str">
        <f t="shared" si="0"/>
        <v>Wed</v>
      </c>
      <c r="H169" s="36">
        <f t="shared" si="7"/>
        <v>6</v>
      </c>
      <c r="I169" s="22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70"/>
      <c r="E170" s="5"/>
      <c r="F170" s="198">
        <f t="shared" si="1"/>
        <v>44364</v>
      </c>
      <c r="G170" s="238" t="str">
        <f t="shared" si="0"/>
        <v>Thu</v>
      </c>
      <c r="H170" s="36">
        <f t="shared" si="7"/>
        <v>6</v>
      </c>
      <c r="I170" s="22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70"/>
      <c r="E171" s="5"/>
      <c r="F171" s="198">
        <f t="shared" si="1"/>
        <v>44365</v>
      </c>
      <c r="G171" s="238" t="str">
        <f t="shared" si="0"/>
        <v>Fri</v>
      </c>
      <c r="H171" s="36">
        <f t="shared" si="7"/>
        <v>6</v>
      </c>
      <c r="I171" s="22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70"/>
      <c r="E172" s="5"/>
      <c r="F172" s="198">
        <f t="shared" si="1"/>
        <v>44366</v>
      </c>
      <c r="G172" s="238" t="str">
        <f t="shared" si="0"/>
        <v>Sat</v>
      </c>
      <c r="H172" s="36">
        <f t="shared" si="7"/>
        <v>7</v>
      </c>
      <c r="I172" s="22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70"/>
      <c r="E173" s="5"/>
      <c r="F173" s="198">
        <f t="shared" si="1"/>
        <v>44367</v>
      </c>
      <c r="G173" s="238" t="str">
        <f t="shared" si="0"/>
        <v>Sun</v>
      </c>
      <c r="H173" s="36">
        <f t="shared" si="7"/>
        <v>1</v>
      </c>
      <c r="I173" s="22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70"/>
      <c r="E174" s="5"/>
      <c r="F174" s="198">
        <f t="shared" si="1"/>
        <v>44368</v>
      </c>
      <c r="G174" s="238" t="str">
        <f t="shared" si="0"/>
        <v>Mon</v>
      </c>
      <c r="H174" s="36">
        <f t="shared" si="7"/>
        <v>6</v>
      </c>
      <c r="I174" s="22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70"/>
      <c r="E175" s="5"/>
      <c r="F175" s="198">
        <f t="shared" si="1"/>
        <v>44369</v>
      </c>
      <c r="G175" s="238" t="str">
        <f t="shared" si="0"/>
        <v>Tue</v>
      </c>
      <c r="H175" s="36">
        <f t="shared" si="7"/>
        <v>6</v>
      </c>
      <c r="I175" s="22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70"/>
      <c r="E176" s="5"/>
      <c r="F176" s="198">
        <f t="shared" si="1"/>
        <v>44370</v>
      </c>
      <c r="G176" s="238" t="str">
        <f t="shared" si="0"/>
        <v>Wed</v>
      </c>
      <c r="H176" s="36">
        <f t="shared" si="7"/>
        <v>6</v>
      </c>
      <c r="I176" s="22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70"/>
      <c r="E177" s="5"/>
      <c r="F177" s="198">
        <f t="shared" si="1"/>
        <v>44371</v>
      </c>
      <c r="G177" s="238" t="str">
        <f t="shared" si="0"/>
        <v>Thu</v>
      </c>
      <c r="H177" s="36">
        <f t="shared" si="7"/>
        <v>6</v>
      </c>
      <c r="I177" s="22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70"/>
      <c r="E178" s="5"/>
      <c r="F178" s="198">
        <f t="shared" si="1"/>
        <v>44372</v>
      </c>
      <c r="G178" s="238" t="str">
        <f t="shared" si="0"/>
        <v>Fri</v>
      </c>
      <c r="H178" s="36">
        <f t="shared" si="7"/>
        <v>6</v>
      </c>
      <c r="I178" s="22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70"/>
      <c r="E179" s="5"/>
      <c r="F179" s="198">
        <f t="shared" si="1"/>
        <v>44373</v>
      </c>
      <c r="G179" s="238" t="str">
        <f t="shared" si="0"/>
        <v>Sat</v>
      </c>
      <c r="H179" s="36">
        <f t="shared" si="7"/>
        <v>7</v>
      </c>
      <c r="I179" s="22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70"/>
      <c r="E180" s="5"/>
      <c r="F180" s="198">
        <f t="shared" si="1"/>
        <v>44374</v>
      </c>
      <c r="G180" s="238" t="str">
        <f t="shared" si="0"/>
        <v>Sun</v>
      </c>
      <c r="H180" s="36">
        <f t="shared" si="7"/>
        <v>1</v>
      </c>
      <c r="I180" s="22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70"/>
      <c r="E181" s="5"/>
      <c r="F181" s="198">
        <f t="shared" si="1"/>
        <v>44375</v>
      </c>
      <c r="G181" s="238" t="str">
        <f t="shared" si="0"/>
        <v>Mon</v>
      </c>
      <c r="H181" s="36">
        <f t="shared" si="7"/>
        <v>6</v>
      </c>
      <c r="I181" s="22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70"/>
      <c r="E182" s="5"/>
      <c r="F182" s="198">
        <f t="shared" si="1"/>
        <v>44376</v>
      </c>
      <c r="G182" s="238" t="str">
        <f t="shared" si="0"/>
        <v>Tue</v>
      </c>
      <c r="H182" s="36">
        <f t="shared" si="7"/>
        <v>6</v>
      </c>
      <c r="I182" s="22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70"/>
      <c r="E183" s="5"/>
      <c r="F183" s="198">
        <f t="shared" si="1"/>
        <v>44377</v>
      </c>
      <c r="G183" s="238" t="str">
        <f t="shared" si="0"/>
        <v>Wed</v>
      </c>
      <c r="H183" s="36">
        <f t="shared" si="7"/>
        <v>6</v>
      </c>
      <c r="I183" s="22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70"/>
      <c r="E184" s="5"/>
      <c r="F184" s="198">
        <f t="shared" si="1"/>
        <v>44378</v>
      </c>
      <c r="G184" s="238" t="str">
        <f t="shared" si="0"/>
        <v>Thu</v>
      </c>
      <c r="H184" s="36">
        <f t="shared" si="7"/>
        <v>6</v>
      </c>
      <c r="I184" s="22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70"/>
      <c r="E185" s="5"/>
      <c r="F185" s="198">
        <f t="shared" si="1"/>
        <v>44379</v>
      </c>
      <c r="G185" s="238" t="str">
        <f t="shared" si="0"/>
        <v>Fri</v>
      </c>
      <c r="H185" s="36">
        <f t="shared" si="7"/>
        <v>6</v>
      </c>
      <c r="I185" s="22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70"/>
      <c r="E186" s="5"/>
      <c r="F186" s="198">
        <f t="shared" si="1"/>
        <v>44380</v>
      </c>
      <c r="G186" s="238" t="str">
        <f t="shared" si="0"/>
        <v>Sat</v>
      </c>
      <c r="H186" s="36">
        <f t="shared" si="7"/>
        <v>7</v>
      </c>
      <c r="I186" s="22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70"/>
      <c r="E187" s="5"/>
      <c r="F187" s="198">
        <f t="shared" si="1"/>
        <v>44381</v>
      </c>
      <c r="G187" s="238" t="str">
        <f t="shared" si="0"/>
        <v>Sun</v>
      </c>
      <c r="H187" s="36">
        <f t="shared" si="7"/>
        <v>1</v>
      </c>
      <c r="I187" s="22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70"/>
      <c r="E188" s="5"/>
      <c r="F188" s="198">
        <f t="shared" si="1"/>
        <v>44382</v>
      </c>
      <c r="G188" s="238" t="str">
        <f t="shared" si="0"/>
        <v>Mon</v>
      </c>
      <c r="H188" s="36">
        <f t="shared" si="7"/>
        <v>6</v>
      </c>
      <c r="I188" s="22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70"/>
      <c r="E189" s="5"/>
      <c r="F189" s="198">
        <f t="shared" si="1"/>
        <v>44383</v>
      </c>
      <c r="G189" s="238" t="str">
        <f t="shared" si="0"/>
        <v>Tue</v>
      </c>
      <c r="H189" s="36">
        <f t="shared" si="7"/>
        <v>6</v>
      </c>
      <c r="I189" s="22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70"/>
      <c r="E190" s="5"/>
      <c r="F190" s="198">
        <f t="shared" si="1"/>
        <v>44384</v>
      </c>
      <c r="G190" s="238" t="str">
        <f t="shared" si="0"/>
        <v>Wed</v>
      </c>
      <c r="H190" s="36">
        <f t="shared" si="7"/>
        <v>6</v>
      </c>
      <c r="I190" s="22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70"/>
      <c r="E191" s="5"/>
      <c r="F191" s="198">
        <f t="shared" si="1"/>
        <v>44385</v>
      </c>
      <c r="G191" s="238" t="str">
        <f t="shared" si="0"/>
        <v>Thu</v>
      </c>
      <c r="H191" s="36">
        <f t="shared" si="7"/>
        <v>6</v>
      </c>
      <c r="I191" s="22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70"/>
      <c r="E192" s="5"/>
      <c r="F192" s="198">
        <f t="shared" si="1"/>
        <v>44386</v>
      </c>
      <c r="G192" s="238" t="str">
        <f t="shared" si="0"/>
        <v>Fri</v>
      </c>
      <c r="H192" s="36">
        <f t="shared" si="7"/>
        <v>6</v>
      </c>
      <c r="I192" s="224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70"/>
      <c r="E193" s="5"/>
      <c r="F193" s="198">
        <f t="shared" si="1"/>
        <v>44387</v>
      </c>
      <c r="G193" s="238" t="str">
        <f t="shared" si="0"/>
        <v>Sat</v>
      </c>
      <c r="H193" s="36">
        <f t="shared" si="7"/>
        <v>7</v>
      </c>
      <c r="I193" s="224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70"/>
      <c r="E194" s="5"/>
      <c r="F194" s="198">
        <f t="shared" si="1"/>
        <v>44388</v>
      </c>
      <c r="G194" s="238" t="str">
        <f t="shared" si="0"/>
        <v>Sun</v>
      </c>
      <c r="H194" s="36">
        <f t="shared" si="7"/>
        <v>1</v>
      </c>
      <c r="I194" s="224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70"/>
      <c r="E195" s="5"/>
      <c r="F195" s="198">
        <f t="shared" si="1"/>
        <v>44389</v>
      </c>
      <c r="G195" s="238" t="str">
        <f t="shared" si="0"/>
        <v>Mon</v>
      </c>
      <c r="H195" s="36">
        <f t="shared" si="7"/>
        <v>6</v>
      </c>
      <c r="I195" s="224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70"/>
      <c r="E196" s="5"/>
      <c r="F196" s="198">
        <f t="shared" si="1"/>
        <v>44390</v>
      </c>
      <c r="G196" s="238" t="str">
        <f t="shared" si="0"/>
        <v>Tue</v>
      </c>
      <c r="H196" s="36">
        <f t="shared" si="7"/>
        <v>6</v>
      </c>
      <c r="I196" s="224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70"/>
      <c r="E197" s="5"/>
      <c r="F197" s="198">
        <f t="shared" si="1"/>
        <v>44391</v>
      </c>
      <c r="G197" s="238" t="str">
        <f t="shared" si="0"/>
        <v>Wed</v>
      </c>
      <c r="H197" s="36">
        <f t="shared" si="7"/>
        <v>6</v>
      </c>
      <c r="I197" s="224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70"/>
      <c r="E198" s="5"/>
      <c r="F198" s="198">
        <f t="shared" si="1"/>
        <v>44392</v>
      </c>
      <c r="G198" s="238" t="str">
        <f t="shared" si="0"/>
        <v>Thu</v>
      </c>
      <c r="H198" s="36">
        <f t="shared" si="7"/>
        <v>6</v>
      </c>
      <c r="I198" s="224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70"/>
      <c r="E199" s="5"/>
      <c r="F199" s="198">
        <f t="shared" si="1"/>
        <v>44393</v>
      </c>
      <c r="G199" s="238" t="str">
        <f t="shared" si="0"/>
        <v>Fri</v>
      </c>
      <c r="H199" s="36">
        <f t="shared" si="7"/>
        <v>6</v>
      </c>
      <c r="I199" s="224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70"/>
      <c r="E200" s="5"/>
      <c r="F200" s="198">
        <f t="shared" si="1"/>
        <v>44394</v>
      </c>
      <c r="G200" s="238" t="str">
        <f t="shared" si="0"/>
        <v>Sat</v>
      </c>
      <c r="H200" s="36">
        <f t="shared" si="7"/>
        <v>7</v>
      </c>
      <c r="I200" s="224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70"/>
      <c r="E201" s="5"/>
      <c r="F201" s="198">
        <f t="shared" si="1"/>
        <v>44395</v>
      </c>
      <c r="G201" s="238" t="str">
        <f t="shared" si="0"/>
        <v>Sun</v>
      </c>
      <c r="H201" s="36">
        <f t="shared" si="7"/>
        <v>1</v>
      </c>
      <c r="I201" s="224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70"/>
      <c r="E202" s="5"/>
      <c r="F202" s="198">
        <f t="shared" si="1"/>
        <v>44396</v>
      </c>
      <c r="G202" s="238" t="str">
        <f t="shared" si="0"/>
        <v>Mon</v>
      </c>
      <c r="H202" s="36">
        <f t="shared" si="7"/>
        <v>6</v>
      </c>
      <c r="I202" s="224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70"/>
      <c r="E203" s="5"/>
      <c r="F203" s="198">
        <f t="shared" si="1"/>
        <v>44397</v>
      </c>
      <c r="G203" s="238" t="str">
        <f t="shared" si="0"/>
        <v>Tue</v>
      </c>
      <c r="H203" s="36">
        <f t="shared" si="7"/>
        <v>6</v>
      </c>
      <c r="I203" s="224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70"/>
      <c r="E204" s="5"/>
      <c r="F204" s="198">
        <f t="shared" si="1"/>
        <v>44398</v>
      </c>
      <c r="G204" s="238" t="str">
        <f t="shared" si="0"/>
        <v>Wed</v>
      </c>
      <c r="H204" s="36">
        <f t="shared" si="7"/>
        <v>6</v>
      </c>
      <c r="I204" s="224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70"/>
      <c r="E205" s="5"/>
      <c r="F205" s="198">
        <f t="shared" si="1"/>
        <v>44399</v>
      </c>
      <c r="G205" s="238" t="str">
        <f t="shared" si="0"/>
        <v>Thu</v>
      </c>
      <c r="H205" s="36">
        <f t="shared" si="7"/>
        <v>6</v>
      </c>
      <c r="I205" s="224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70"/>
      <c r="E206" s="5"/>
      <c r="F206" s="198">
        <f t="shared" si="1"/>
        <v>44400</v>
      </c>
      <c r="G206" s="238" t="str">
        <f t="shared" si="0"/>
        <v>Fri</v>
      </c>
      <c r="H206" s="36">
        <f t="shared" si="7"/>
        <v>6</v>
      </c>
      <c r="I206" s="224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70"/>
      <c r="E207" s="5"/>
      <c r="F207" s="198">
        <f t="shared" si="1"/>
        <v>44401</v>
      </c>
      <c r="G207" s="238" t="str">
        <f t="shared" si="0"/>
        <v>Sat</v>
      </c>
      <c r="H207" s="36">
        <f t="shared" si="7"/>
        <v>7</v>
      </c>
      <c r="I207" s="224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70"/>
      <c r="E208" s="5"/>
      <c r="F208" s="198">
        <f t="shared" si="1"/>
        <v>44402</v>
      </c>
      <c r="G208" s="238" t="str">
        <f t="shared" si="0"/>
        <v>Sun</v>
      </c>
      <c r="H208" s="36">
        <f t="shared" si="7"/>
        <v>1</v>
      </c>
      <c r="I208" s="224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70"/>
      <c r="E209" s="5"/>
      <c r="F209" s="198">
        <f t="shared" si="1"/>
        <v>44403</v>
      </c>
      <c r="G209" s="238" t="str">
        <f t="shared" si="0"/>
        <v>Mon</v>
      </c>
      <c r="H209" s="36">
        <f t="shared" si="7"/>
        <v>6</v>
      </c>
      <c r="I209" s="224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70"/>
      <c r="E210" s="5"/>
      <c r="F210" s="198">
        <f t="shared" si="1"/>
        <v>44404</v>
      </c>
      <c r="G210" s="238" t="str">
        <f t="shared" si="0"/>
        <v>Tue</v>
      </c>
      <c r="H210" s="36">
        <f t="shared" si="7"/>
        <v>6</v>
      </c>
      <c r="I210" s="224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70"/>
      <c r="E211" s="5"/>
      <c r="F211" s="198">
        <f t="shared" si="1"/>
        <v>44405</v>
      </c>
      <c r="G211" s="238" t="str">
        <f t="shared" si="0"/>
        <v>Wed</v>
      </c>
      <c r="H211" s="36">
        <f t="shared" si="7"/>
        <v>6</v>
      </c>
      <c r="I211" s="224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70"/>
      <c r="E212" s="5"/>
      <c r="F212" s="198">
        <f t="shared" si="1"/>
        <v>44406</v>
      </c>
      <c r="G212" s="238" t="str">
        <f t="shared" si="0"/>
        <v>Thu</v>
      </c>
      <c r="H212" s="36">
        <f t="shared" si="7"/>
        <v>6</v>
      </c>
      <c r="I212" s="224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70"/>
      <c r="E213" s="5"/>
      <c r="F213" s="198">
        <f t="shared" si="1"/>
        <v>44407</v>
      </c>
      <c r="G213" s="238" t="str">
        <f t="shared" si="0"/>
        <v>Fri</v>
      </c>
      <c r="H213" s="36">
        <f t="shared" si="7"/>
        <v>6</v>
      </c>
      <c r="I213" s="224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70"/>
      <c r="E214" s="5"/>
      <c r="F214" s="198">
        <f t="shared" si="1"/>
        <v>44408</v>
      </c>
      <c r="G214" s="238" t="str">
        <f t="shared" si="0"/>
        <v>Sat</v>
      </c>
      <c r="H214" s="36">
        <f t="shared" si="7"/>
        <v>7</v>
      </c>
      <c r="I214" s="224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70"/>
      <c r="E215" s="5"/>
      <c r="F215" s="198">
        <f t="shared" si="1"/>
        <v>44409</v>
      </c>
      <c r="G215" s="238" t="str">
        <f t="shared" si="0"/>
        <v>Sun</v>
      </c>
      <c r="H215" s="36">
        <f t="shared" si="7"/>
        <v>1</v>
      </c>
      <c r="I215" s="224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70"/>
      <c r="E216" s="5"/>
      <c r="F216" s="198">
        <f t="shared" si="1"/>
        <v>44410</v>
      </c>
      <c r="G216" s="238" t="str">
        <f t="shared" si="0"/>
        <v>Mon</v>
      </c>
      <c r="H216" s="36">
        <f t="shared" si="7"/>
        <v>6</v>
      </c>
      <c r="I216" s="224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70"/>
      <c r="E217" s="5"/>
      <c r="F217" s="198">
        <f t="shared" si="1"/>
        <v>44411</v>
      </c>
      <c r="G217" s="238" t="str">
        <f t="shared" si="0"/>
        <v>Tue</v>
      </c>
      <c r="H217" s="36">
        <f t="shared" si="7"/>
        <v>6</v>
      </c>
      <c r="I217" s="224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70"/>
      <c r="E218" s="5"/>
      <c r="F218" s="198">
        <f t="shared" si="1"/>
        <v>44412</v>
      </c>
      <c r="G218" s="238" t="str">
        <f t="shared" si="0"/>
        <v>Wed</v>
      </c>
      <c r="H218" s="36">
        <f t="shared" si="7"/>
        <v>6</v>
      </c>
      <c r="I218" s="224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70"/>
      <c r="E219" s="5"/>
      <c r="F219" s="198">
        <f t="shared" si="1"/>
        <v>44413</v>
      </c>
      <c r="G219" s="238" t="str">
        <f t="shared" si="0"/>
        <v>Thu</v>
      </c>
      <c r="H219" s="36">
        <f t="shared" si="7"/>
        <v>6</v>
      </c>
      <c r="I219" s="224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70"/>
      <c r="E220" s="5"/>
      <c r="F220" s="198">
        <f t="shared" si="1"/>
        <v>44414</v>
      </c>
      <c r="G220" s="238" t="str">
        <f t="shared" si="0"/>
        <v>Fri</v>
      </c>
      <c r="H220" s="36">
        <f t="shared" si="7"/>
        <v>6</v>
      </c>
      <c r="I220" s="224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70"/>
      <c r="E221" s="5"/>
      <c r="F221" s="198">
        <f t="shared" si="1"/>
        <v>44415</v>
      </c>
      <c r="G221" s="238" t="str">
        <f t="shared" si="0"/>
        <v>Sat</v>
      </c>
      <c r="H221" s="36">
        <f t="shared" si="7"/>
        <v>7</v>
      </c>
      <c r="I221" s="224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70"/>
      <c r="E222" s="5"/>
      <c r="F222" s="198">
        <f t="shared" si="1"/>
        <v>44416</v>
      </c>
      <c r="G222" s="238" t="str">
        <f t="shared" si="0"/>
        <v>Sun</v>
      </c>
      <c r="H222" s="36">
        <f t="shared" si="7"/>
        <v>1</v>
      </c>
      <c r="I222" s="224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70"/>
      <c r="E223" s="5"/>
      <c r="F223" s="198">
        <f t="shared" si="1"/>
        <v>44417</v>
      </c>
      <c r="G223" s="238" t="str">
        <f t="shared" si="0"/>
        <v>Mon</v>
      </c>
      <c r="H223" s="36">
        <f t="shared" si="7"/>
        <v>6</v>
      </c>
      <c r="I223" s="224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70"/>
      <c r="E224" s="5"/>
      <c r="F224" s="198">
        <f t="shared" si="1"/>
        <v>44418</v>
      </c>
      <c r="G224" s="238" t="str">
        <f t="shared" si="0"/>
        <v>Tue</v>
      </c>
      <c r="H224" s="36">
        <f t="shared" si="7"/>
        <v>6</v>
      </c>
      <c r="I224" s="224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70"/>
      <c r="E225" s="5"/>
      <c r="F225" s="198">
        <f t="shared" si="1"/>
        <v>44419</v>
      </c>
      <c r="G225" s="238" t="str">
        <f t="shared" si="0"/>
        <v>Wed</v>
      </c>
      <c r="H225" s="36">
        <f t="shared" si="7"/>
        <v>6</v>
      </c>
      <c r="I225" s="224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70"/>
      <c r="E226" s="5"/>
      <c r="F226" s="198">
        <f t="shared" si="1"/>
        <v>44420</v>
      </c>
      <c r="G226" s="238" t="str">
        <f t="shared" si="0"/>
        <v>Thu</v>
      </c>
      <c r="H226" s="36">
        <f t="shared" si="7"/>
        <v>6</v>
      </c>
      <c r="I226" s="224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70"/>
      <c r="E227" s="5"/>
      <c r="F227" s="198">
        <f t="shared" si="1"/>
        <v>44421</v>
      </c>
      <c r="G227" s="238" t="str">
        <f t="shared" si="0"/>
        <v>Fri</v>
      </c>
      <c r="H227" s="36">
        <f t="shared" si="7"/>
        <v>6</v>
      </c>
      <c r="I227" s="224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70"/>
      <c r="E228" s="5"/>
      <c r="F228" s="198">
        <f t="shared" si="1"/>
        <v>44422</v>
      </c>
      <c r="G228" s="238" t="str">
        <f t="shared" si="0"/>
        <v>Sat</v>
      </c>
      <c r="H228" s="36">
        <f t="shared" si="7"/>
        <v>7</v>
      </c>
      <c r="I228" s="224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70"/>
      <c r="E229" s="5"/>
      <c r="F229" s="198">
        <f t="shared" si="1"/>
        <v>44423</v>
      </c>
      <c r="G229" s="238" t="str">
        <f t="shared" si="0"/>
        <v>Sun</v>
      </c>
      <c r="H229" s="36">
        <f t="shared" si="7"/>
        <v>1</v>
      </c>
      <c r="I229" s="224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70"/>
      <c r="E230" s="5"/>
      <c r="F230" s="198">
        <f t="shared" si="1"/>
        <v>44424</v>
      </c>
      <c r="G230" s="238" t="str">
        <f t="shared" si="0"/>
        <v>Mon</v>
      </c>
      <c r="H230" s="36">
        <f t="shared" si="7"/>
        <v>6</v>
      </c>
      <c r="I230" s="224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70"/>
      <c r="E231" s="5"/>
      <c r="F231" s="198">
        <f t="shared" si="1"/>
        <v>44425</v>
      </c>
      <c r="G231" s="238" t="str">
        <f t="shared" si="0"/>
        <v>Tue</v>
      </c>
      <c r="H231" s="36">
        <f t="shared" si="7"/>
        <v>6</v>
      </c>
      <c r="I231" s="224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70"/>
      <c r="E232" s="5"/>
      <c r="F232" s="198">
        <f t="shared" si="1"/>
        <v>44426</v>
      </c>
      <c r="G232" s="238" t="str">
        <f t="shared" si="0"/>
        <v>Wed</v>
      </c>
      <c r="H232" s="36">
        <f t="shared" si="7"/>
        <v>6</v>
      </c>
      <c r="I232" s="224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70"/>
      <c r="E233" s="5"/>
      <c r="F233" s="198">
        <f t="shared" si="1"/>
        <v>44427</v>
      </c>
      <c r="G233" s="238" t="str">
        <f t="shared" si="0"/>
        <v>Thu</v>
      </c>
      <c r="H233" s="36">
        <f t="shared" si="7"/>
        <v>6</v>
      </c>
      <c r="I233" s="224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70"/>
      <c r="E234" s="5"/>
      <c r="F234" s="198">
        <f t="shared" si="1"/>
        <v>44428</v>
      </c>
      <c r="G234" s="238" t="str">
        <f t="shared" si="0"/>
        <v>Fri</v>
      </c>
      <c r="H234" s="36">
        <f t="shared" si="7"/>
        <v>6</v>
      </c>
      <c r="I234" s="224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70"/>
      <c r="E235" s="5"/>
      <c r="F235" s="198">
        <f t="shared" si="1"/>
        <v>44429</v>
      </c>
      <c r="G235" s="238" t="str">
        <f t="shared" si="0"/>
        <v>Sat</v>
      </c>
      <c r="H235" s="36">
        <v>87</v>
      </c>
      <c r="I235" s="224" t="s">
        <v>216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70"/>
      <c r="E236" s="5"/>
      <c r="F236" s="198">
        <f t="shared" si="1"/>
        <v>44430</v>
      </c>
      <c r="G236" s="238" t="str">
        <f t="shared" si="0"/>
        <v>Sun</v>
      </c>
      <c r="H236" s="36">
        <f t="shared" ref="H236:H243" si="8">IF(G236="Sun",1,IF(G236="Sat",7,6))</f>
        <v>1</v>
      </c>
      <c r="I236" s="224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70"/>
      <c r="E237" s="5"/>
      <c r="F237" s="198">
        <f t="shared" si="1"/>
        <v>44431</v>
      </c>
      <c r="G237" s="238" t="str">
        <f t="shared" si="0"/>
        <v>Mon</v>
      </c>
      <c r="H237" s="36">
        <f t="shared" si="8"/>
        <v>6</v>
      </c>
      <c r="I237" s="224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70"/>
      <c r="E238" s="5"/>
      <c r="F238" s="198">
        <f t="shared" si="1"/>
        <v>44432</v>
      </c>
      <c r="G238" s="238" t="str">
        <f t="shared" si="0"/>
        <v>Tue</v>
      </c>
      <c r="H238" s="36">
        <f t="shared" si="8"/>
        <v>6</v>
      </c>
      <c r="I238" s="224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70"/>
      <c r="E239" s="5"/>
      <c r="F239" s="198">
        <f t="shared" si="1"/>
        <v>44433</v>
      </c>
      <c r="G239" s="238" t="str">
        <f t="shared" si="0"/>
        <v>Wed</v>
      </c>
      <c r="H239" s="36">
        <f t="shared" si="8"/>
        <v>6</v>
      </c>
      <c r="I239" s="224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70"/>
      <c r="E240" s="5"/>
      <c r="F240" s="198">
        <f t="shared" si="1"/>
        <v>44434</v>
      </c>
      <c r="G240" s="238" t="str">
        <f t="shared" si="0"/>
        <v>Thu</v>
      </c>
      <c r="H240" s="36">
        <f t="shared" si="8"/>
        <v>6</v>
      </c>
      <c r="I240" s="224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70"/>
      <c r="E241" s="5"/>
      <c r="F241" s="198">
        <f t="shared" si="1"/>
        <v>44435</v>
      </c>
      <c r="G241" s="238" t="str">
        <f t="shared" si="0"/>
        <v>Fri</v>
      </c>
      <c r="H241" s="36">
        <f t="shared" si="8"/>
        <v>6</v>
      </c>
      <c r="I241" s="224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70"/>
      <c r="E242" s="5"/>
      <c r="F242" s="198">
        <f t="shared" si="1"/>
        <v>44436</v>
      </c>
      <c r="G242" s="238" t="str">
        <f t="shared" si="0"/>
        <v>Sat</v>
      </c>
      <c r="H242" s="36">
        <f t="shared" si="8"/>
        <v>7</v>
      </c>
      <c r="I242" s="224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70"/>
      <c r="E243" s="5"/>
      <c r="F243" s="198">
        <f t="shared" si="1"/>
        <v>44437</v>
      </c>
      <c r="G243" s="238" t="str">
        <f t="shared" si="0"/>
        <v>Sun</v>
      </c>
      <c r="H243" s="36">
        <f t="shared" si="8"/>
        <v>1</v>
      </c>
      <c r="I243" s="224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70"/>
      <c r="E244" s="5"/>
      <c r="F244" s="198">
        <f t="shared" si="1"/>
        <v>44438</v>
      </c>
      <c r="G244" s="238" t="str">
        <f t="shared" si="0"/>
        <v>Mon</v>
      </c>
      <c r="H244" s="36">
        <v>97</v>
      </c>
      <c r="I244" s="224" t="s">
        <v>217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70"/>
      <c r="E245" s="5"/>
      <c r="F245" s="198">
        <f t="shared" si="1"/>
        <v>44439</v>
      </c>
      <c r="G245" s="238" t="str">
        <f t="shared" si="0"/>
        <v>Tue</v>
      </c>
      <c r="H245" s="36">
        <f t="shared" ref="H245:H306" si="9">IF(G245="Sun",1,IF(G245="Sat",7,6))</f>
        <v>6</v>
      </c>
      <c r="I245" s="224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70"/>
      <c r="E246" s="5"/>
      <c r="F246" s="198">
        <f t="shared" si="1"/>
        <v>44440</v>
      </c>
      <c r="G246" s="238" t="str">
        <f t="shared" si="0"/>
        <v>Wed</v>
      </c>
      <c r="H246" s="36">
        <f t="shared" si="9"/>
        <v>6</v>
      </c>
      <c r="I246" s="224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70"/>
      <c r="E247" s="5"/>
      <c r="F247" s="198">
        <f t="shared" si="1"/>
        <v>44441</v>
      </c>
      <c r="G247" s="238" t="str">
        <f t="shared" si="0"/>
        <v>Thu</v>
      </c>
      <c r="H247" s="36">
        <f t="shared" si="9"/>
        <v>6</v>
      </c>
      <c r="I247" s="224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70"/>
      <c r="E248" s="5"/>
      <c r="F248" s="198">
        <f t="shared" si="1"/>
        <v>44442</v>
      </c>
      <c r="G248" s="238" t="str">
        <f t="shared" si="0"/>
        <v>Fri</v>
      </c>
      <c r="H248" s="36">
        <f t="shared" si="9"/>
        <v>6</v>
      </c>
      <c r="I248" s="224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70"/>
      <c r="E249" s="5"/>
      <c r="F249" s="198">
        <f t="shared" si="1"/>
        <v>44443</v>
      </c>
      <c r="G249" s="238" t="str">
        <f t="shared" si="0"/>
        <v>Sat</v>
      </c>
      <c r="H249" s="36">
        <f t="shared" si="9"/>
        <v>7</v>
      </c>
      <c r="I249" s="224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70"/>
      <c r="E250" s="5"/>
      <c r="F250" s="198">
        <f t="shared" si="1"/>
        <v>44444</v>
      </c>
      <c r="G250" s="238" t="str">
        <f t="shared" si="0"/>
        <v>Sun</v>
      </c>
      <c r="H250" s="36">
        <f t="shared" si="9"/>
        <v>1</v>
      </c>
      <c r="I250" s="224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70"/>
      <c r="E251" s="5"/>
      <c r="F251" s="198">
        <f t="shared" si="1"/>
        <v>44445</v>
      </c>
      <c r="G251" s="238" t="str">
        <f t="shared" si="0"/>
        <v>Mon</v>
      </c>
      <c r="H251" s="36">
        <f t="shared" si="9"/>
        <v>6</v>
      </c>
      <c r="I251" s="224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70"/>
      <c r="E252" s="5"/>
      <c r="F252" s="198">
        <f t="shared" si="1"/>
        <v>44446</v>
      </c>
      <c r="G252" s="238" t="str">
        <f t="shared" si="0"/>
        <v>Tue</v>
      </c>
      <c r="H252" s="36">
        <f t="shared" si="9"/>
        <v>6</v>
      </c>
      <c r="I252" s="224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70"/>
      <c r="E253" s="5"/>
      <c r="F253" s="198">
        <f t="shared" si="1"/>
        <v>44447</v>
      </c>
      <c r="G253" s="238" t="str">
        <f t="shared" si="0"/>
        <v>Wed</v>
      </c>
      <c r="H253" s="36">
        <f t="shared" si="9"/>
        <v>6</v>
      </c>
      <c r="I253" s="224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70"/>
      <c r="E254" s="5"/>
      <c r="F254" s="198">
        <f t="shared" si="1"/>
        <v>44448</v>
      </c>
      <c r="G254" s="238" t="str">
        <f t="shared" si="0"/>
        <v>Thu</v>
      </c>
      <c r="H254" s="36">
        <f t="shared" si="9"/>
        <v>6</v>
      </c>
      <c r="I254" s="224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70"/>
      <c r="E255" s="5"/>
      <c r="F255" s="198">
        <f t="shared" si="1"/>
        <v>44449</v>
      </c>
      <c r="G255" s="238" t="str">
        <f t="shared" si="0"/>
        <v>Fri</v>
      </c>
      <c r="H255" s="36">
        <f t="shared" si="9"/>
        <v>6</v>
      </c>
      <c r="I255" s="224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70"/>
      <c r="E256" s="5"/>
      <c r="F256" s="198">
        <f t="shared" si="1"/>
        <v>44450</v>
      </c>
      <c r="G256" s="238" t="str">
        <f t="shared" si="0"/>
        <v>Sat</v>
      </c>
      <c r="H256" s="36">
        <f t="shared" si="9"/>
        <v>7</v>
      </c>
      <c r="I256" s="224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70"/>
      <c r="E257" s="5"/>
      <c r="F257" s="198">
        <f t="shared" si="1"/>
        <v>44451</v>
      </c>
      <c r="G257" s="238" t="str">
        <f t="shared" si="0"/>
        <v>Sun</v>
      </c>
      <c r="H257" s="36">
        <f t="shared" si="9"/>
        <v>1</v>
      </c>
      <c r="I257" s="224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70"/>
      <c r="E258" s="5"/>
      <c r="F258" s="198">
        <f t="shared" si="1"/>
        <v>44452</v>
      </c>
      <c r="G258" s="238" t="str">
        <f t="shared" ref="G258:G367" si="10">TEXT(F258,"ddd")</f>
        <v>Mon</v>
      </c>
      <c r="H258" s="36">
        <f t="shared" si="9"/>
        <v>6</v>
      </c>
      <c r="I258" s="224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70"/>
      <c r="E259" s="5"/>
      <c r="F259" s="198">
        <f t="shared" ref="F259:F367" si="11">F258+1</f>
        <v>44453</v>
      </c>
      <c r="G259" s="238" t="str">
        <f t="shared" si="10"/>
        <v>Tue</v>
      </c>
      <c r="H259" s="36">
        <f t="shared" si="9"/>
        <v>6</v>
      </c>
      <c r="I259" s="224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70"/>
      <c r="E260" s="5"/>
      <c r="F260" s="198">
        <f t="shared" si="11"/>
        <v>44454</v>
      </c>
      <c r="G260" s="238" t="str">
        <f t="shared" si="10"/>
        <v>Wed</v>
      </c>
      <c r="H260" s="36">
        <f t="shared" si="9"/>
        <v>6</v>
      </c>
      <c r="I260" s="224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70"/>
      <c r="E261" s="5"/>
      <c r="F261" s="198">
        <f t="shared" si="11"/>
        <v>44455</v>
      </c>
      <c r="G261" s="238" t="str">
        <f t="shared" si="10"/>
        <v>Thu</v>
      </c>
      <c r="H261" s="36">
        <f t="shared" si="9"/>
        <v>6</v>
      </c>
      <c r="I261" s="224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70"/>
      <c r="E262" s="5"/>
      <c r="F262" s="198">
        <f t="shared" si="11"/>
        <v>44456</v>
      </c>
      <c r="G262" s="238" t="str">
        <f t="shared" si="10"/>
        <v>Fri</v>
      </c>
      <c r="H262" s="36">
        <f t="shared" si="9"/>
        <v>6</v>
      </c>
      <c r="I262" s="224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70"/>
      <c r="E263" s="5"/>
      <c r="F263" s="198">
        <f t="shared" si="11"/>
        <v>44457</v>
      </c>
      <c r="G263" s="238" t="str">
        <f t="shared" si="10"/>
        <v>Sat</v>
      </c>
      <c r="H263" s="36">
        <f t="shared" si="9"/>
        <v>7</v>
      </c>
      <c r="I263" s="224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70"/>
      <c r="E264" s="5"/>
      <c r="F264" s="198">
        <f t="shared" si="11"/>
        <v>44458</v>
      </c>
      <c r="G264" s="238" t="str">
        <f t="shared" si="10"/>
        <v>Sun</v>
      </c>
      <c r="H264" s="36">
        <f t="shared" si="9"/>
        <v>1</v>
      </c>
      <c r="I264" s="224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70"/>
      <c r="E265" s="5"/>
      <c r="F265" s="198">
        <f t="shared" si="11"/>
        <v>44459</v>
      </c>
      <c r="G265" s="238" t="str">
        <f t="shared" si="10"/>
        <v>Mon</v>
      </c>
      <c r="H265" s="36">
        <f t="shared" si="9"/>
        <v>6</v>
      </c>
      <c r="I265" s="224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70"/>
      <c r="E266" s="5"/>
      <c r="F266" s="198">
        <f t="shared" si="11"/>
        <v>44460</v>
      </c>
      <c r="G266" s="238" t="str">
        <f t="shared" si="10"/>
        <v>Tue</v>
      </c>
      <c r="H266" s="36">
        <f t="shared" si="9"/>
        <v>6</v>
      </c>
      <c r="I266" s="224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70"/>
      <c r="E267" s="5"/>
      <c r="F267" s="198">
        <f t="shared" si="11"/>
        <v>44461</v>
      </c>
      <c r="G267" s="238" t="str">
        <f t="shared" si="10"/>
        <v>Wed</v>
      </c>
      <c r="H267" s="36">
        <f t="shared" si="9"/>
        <v>6</v>
      </c>
      <c r="I267" s="224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70"/>
      <c r="E268" s="5"/>
      <c r="F268" s="198">
        <f t="shared" si="11"/>
        <v>44462</v>
      </c>
      <c r="G268" s="238" t="str">
        <f t="shared" si="10"/>
        <v>Thu</v>
      </c>
      <c r="H268" s="36">
        <f t="shared" si="9"/>
        <v>6</v>
      </c>
      <c r="I268" s="224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70"/>
      <c r="E269" s="5"/>
      <c r="F269" s="198">
        <f t="shared" si="11"/>
        <v>44463</v>
      </c>
      <c r="G269" s="238" t="str">
        <f t="shared" si="10"/>
        <v>Fri</v>
      </c>
      <c r="H269" s="36">
        <f t="shared" si="9"/>
        <v>6</v>
      </c>
      <c r="I269" s="224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70"/>
      <c r="E270" s="5"/>
      <c r="F270" s="198">
        <f t="shared" si="11"/>
        <v>44464</v>
      </c>
      <c r="G270" s="238" t="str">
        <f t="shared" si="10"/>
        <v>Sat</v>
      </c>
      <c r="H270" s="36">
        <f t="shared" si="9"/>
        <v>7</v>
      </c>
      <c r="I270" s="224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70"/>
      <c r="E271" s="5"/>
      <c r="F271" s="198">
        <f t="shared" si="11"/>
        <v>44465</v>
      </c>
      <c r="G271" s="238" t="str">
        <f t="shared" si="10"/>
        <v>Sun</v>
      </c>
      <c r="H271" s="36">
        <f t="shared" si="9"/>
        <v>1</v>
      </c>
      <c r="I271" s="224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70"/>
      <c r="E272" s="5"/>
      <c r="F272" s="198">
        <f t="shared" si="11"/>
        <v>44466</v>
      </c>
      <c r="G272" s="238" t="str">
        <f t="shared" si="10"/>
        <v>Mon</v>
      </c>
      <c r="H272" s="36">
        <f t="shared" si="9"/>
        <v>6</v>
      </c>
      <c r="I272" s="224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70"/>
      <c r="E273" s="5"/>
      <c r="F273" s="198">
        <f t="shared" si="11"/>
        <v>44467</v>
      </c>
      <c r="G273" s="238" t="str">
        <f t="shared" si="10"/>
        <v>Tue</v>
      </c>
      <c r="H273" s="36">
        <f t="shared" si="9"/>
        <v>6</v>
      </c>
      <c r="I273" s="224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70"/>
      <c r="E274" s="5"/>
      <c r="F274" s="198">
        <f t="shared" si="11"/>
        <v>44468</v>
      </c>
      <c r="G274" s="238" t="str">
        <f t="shared" si="10"/>
        <v>Wed</v>
      </c>
      <c r="H274" s="36">
        <f t="shared" si="9"/>
        <v>6</v>
      </c>
      <c r="I274" s="224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70"/>
      <c r="E275" s="5"/>
      <c r="F275" s="198">
        <f t="shared" si="11"/>
        <v>44469</v>
      </c>
      <c r="G275" s="238" t="str">
        <f t="shared" si="10"/>
        <v>Thu</v>
      </c>
      <c r="H275" s="36">
        <f t="shared" si="9"/>
        <v>6</v>
      </c>
      <c r="I275" s="224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70"/>
      <c r="E276" s="5"/>
      <c r="F276" s="198">
        <f t="shared" si="11"/>
        <v>44470</v>
      </c>
      <c r="G276" s="238" t="str">
        <f t="shared" si="10"/>
        <v>Fri</v>
      </c>
      <c r="H276" s="36">
        <f t="shared" si="9"/>
        <v>6</v>
      </c>
      <c r="I276" s="224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70"/>
      <c r="E277" s="5"/>
      <c r="F277" s="198">
        <f t="shared" si="11"/>
        <v>44471</v>
      </c>
      <c r="G277" s="238" t="str">
        <f t="shared" si="10"/>
        <v>Sat</v>
      </c>
      <c r="H277" s="36">
        <f t="shared" si="9"/>
        <v>7</v>
      </c>
      <c r="I277" s="224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70"/>
      <c r="E278" s="5"/>
      <c r="F278" s="198">
        <f t="shared" si="11"/>
        <v>44472</v>
      </c>
      <c r="G278" s="238" t="str">
        <f t="shared" si="10"/>
        <v>Sun</v>
      </c>
      <c r="H278" s="36">
        <f t="shared" si="9"/>
        <v>1</v>
      </c>
      <c r="I278" s="224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70"/>
      <c r="E279" s="5"/>
      <c r="F279" s="198">
        <f t="shared" si="11"/>
        <v>44473</v>
      </c>
      <c r="G279" s="238" t="str">
        <f t="shared" si="10"/>
        <v>Mon</v>
      </c>
      <c r="H279" s="36">
        <f t="shared" si="9"/>
        <v>6</v>
      </c>
      <c r="I279" s="224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70"/>
      <c r="E280" s="5"/>
      <c r="F280" s="198">
        <f t="shared" si="11"/>
        <v>44474</v>
      </c>
      <c r="G280" s="238" t="str">
        <f t="shared" si="10"/>
        <v>Tue</v>
      </c>
      <c r="H280" s="36">
        <f t="shared" si="9"/>
        <v>6</v>
      </c>
      <c r="I280" s="224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70"/>
      <c r="E281" s="5"/>
      <c r="F281" s="198">
        <f t="shared" si="11"/>
        <v>44475</v>
      </c>
      <c r="G281" s="238" t="str">
        <f t="shared" si="10"/>
        <v>Wed</v>
      </c>
      <c r="H281" s="36">
        <f t="shared" si="9"/>
        <v>6</v>
      </c>
      <c r="I281" s="224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70"/>
      <c r="E282" s="5"/>
      <c r="F282" s="198">
        <f t="shared" si="11"/>
        <v>44476</v>
      </c>
      <c r="G282" s="238" t="str">
        <f t="shared" si="10"/>
        <v>Thu</v>
      </c>
      <c r="H282" s="36">
        <f t="shared" si="9"/>
        <v>6</v>
      </c>
      <c r="I282" s="224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70"/>
      <c r="E283" s="5"/>
      <c r="F283" s="198">
        <f t="shared" si="11"/>
        <v>44477</v>
      </c>
      <c r="G283" s="238" t="str">
        <f t="shared" si="10"/>
        <v>Fri</v>
      </c>
      <c r="H283" s="36">
        <f t="shared" si="9"/>
        <v>6</v>
      </c>
      <c r="I283" s="224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70"/>
      <c r="E284" s="5"/>
      <c r="F284" s="198">
        <f t="shared" si="11"/>
        <v>44478</v>
      </c>
      <c r="G284" s="238" t="str">
        <f t="shared" si="10"/>
        <v>Sat</v>
      </c>
      <c r="H284" s="36">
        <f t="shared" si="9"/>
        <v>7</v>
      </c>
      <c r="I284" s="224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70"/>
      <c r="E285" s="5"/>
      <c r="F285" s="198">
        <f t="shared" si="11"/>
        <v>44479</v>
      </c>
      <c r="G285" s="238" t="str">
        <f t="shared" si="10"/>
        <v>Sun</v>
      </c>
      <c r="H285" s="36">
        <f t="shared" si="9"/>
        <v>1</v>
      </c>
      <c r="I285" s="224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70"/>
      <c r="E286" s="5"/>
      <c r="F286" s="198">
        <f t="shared" si="11"/>
        <v>44480</v>
      </c>
      <c r="G286" s="238" t="str">
        <f t="shared" si="10"/>
        <v>Mon</v>
      </c>
      <c r="H286" s="36">
        <f t="shared" si="9"/>
        <v>6</v>
      </c>
      <c r="I286" s="224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70"/>
      <c r="E287" s="5"/>
      <c r="F287" s="198">
        <f t="shared" si="11"/>
        <v>44481</v>
      </c>
      <c r="G287" s="238" t="str">
        <f t="shared" si="10"/>
        <v>Tue</v>
      </c>
      <c r="H287" s="36">
        <f t="shared" si="9"/>
        <v>6</v>
      </c>
      <c r="I287" s="224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70"/>
      <c r="E288" s="5"/>
      <c r="F288" s="198">
        <f t="shared" si="11"/>
        <v>44482</v>
      </c>
      <c r="G288" s="238" t="str">
        <f t="shared" si="10"/>
        <v>Wed</v>
      </c>
      <c r="H288" s="36">
        <f t="shared" si="9"/>
        <v>6</v>
      </c>
      <c r="I288" s="224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70"/>
      <c r="E289" s="5"/>
      <c r="F289" s="198">
        <f t="shared" si="11"/>
        <v>44483</v>
      </c>
      <c r="G289" s="238" t="str">
        <f t="shared" si="10"/>
        <v>Thu</v>
      </c>
      <c r="H289" s="36">
        <f t="shared" si="9"/>
        <v>6</v>
      </c>
      <c r="I289" s="224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70"/>
      <c r="E290" s="5"/>
      <c r="F290" s="198">
        <f t="shared" si="11"/>
        <v>44484</v>
      </c>
      <c r="G290" s="238" t="str">
        <f t="shared" si="10"/>
        <v>Fri</v>
      </c>
      <c r="H290" s="36">
        <f t="shared" si="9"/>
        <v>6</v>
      </c>
      <c r="I290" s="224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70"/>
      <c r="E291" s="5"/>
      <c r="F291" s="198">
        <f t="shared" si="11"/>
        <v>44485</v>
      </c>
      <c r="G291" s="238" t="str">
        <f t="shared" si="10"/>
        <v>Sat</v>
      </c>
      <c r="H291" s="36">
        <f t="shared" si="9"/>
        <v>7</v>
      </c>
      <c r="I291" s="224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70"/>
      <c r="E292" s="5"/>
      <c r="F292" s="198">
        <f t="shared" si="11"/>
        <v>44486</v>
      </c>
      <c r="G292" s="238" t="str">
        <f t="shared" si="10"/>
        <v>Sun</v>
      </c>
      <c r="H292" s="36">
        <f t="shared" si="9"/>
        <v>1</v>
      </c>
      <c r="I292" s="224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70"/>
      <c r="E293" s="5"/>
      <c r="F293" s="198">
        <f t="shared" si="11"/>
        <v>44487</v>
      </c>
      <c r="G293" s="238" t="str">
        <f t="shared" si="10"/>
        <v>Mon</v>
      </c>
      <c r="H293" s="36">
        <f t="shared" si="9"/>
        <v>6</v>
      </c>
      <c r="I293" s="224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70"/>
      <c r="E294" s="5"/>
      <c r="F294" s="198">
        <f t="shared" si="11"/>
        <v>44488</v>
      </c>
      <c r="G294" s="238" t="str">
        <f t="shared" si="10"/>
        <v>Tue</v>
      </c>
      <c r="H294" s="36">
        <f t="shared" si="9"/>
        <v>6</v>
      </c>
      <c r="I294" s="224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70"/>
      <c r="E295" s="5"/>
      <c r="F295" s="198">
        <f t="shared" si="11"/>
        <v>44489</v>
      </c>
      <c r="G295" s="238" t="str">
        <f t="shared" si="10"/>
        <v>Wed</v>
      </c>
      <c r="H295" s="36">
        <f t="shared" si="9"/>
        <v>6</v>
      </c>
      <c r="I295" s="224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70"/>
      <c r="E296" s="5"/>
      <c r="F296" s="198">
        <f t="shared" si="11"/>
        <v>44490</v>
      </c>
      <c r="G296" s="238" t="str">
        <f t="shared" si="10"/>
        <v>Thu</v>
      </c>
      <c r="H296" s="36">
        <f t="shared" si="9"/>
        <v>6</v>
      </c>
      <c r="I296" s="224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70"/>
      <c r="E297" s="5"/>
      <c r="F297" s="198">
        <f t="shared" si="11"/>
        <v>44491</v>
      </c>
      <c r="G297" s="238" t="str">
        <f t="shared" si="10"/>
        <v>Fri</v>
      </c>
      <c r="H297" s="36">
        <f t="shared" si="9"/>
        <v>6</v>
      </c>
      <c r="I297" s="224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70"/>
      <c r="E298" s="5"/>
      <c r="F298" s="198">
        <f t="shared" si="11"/>
        <v>44492</v>
      </c>
      <c r="G298" s="238" t="str">
        <f t="shared" si="10"/>
        <v>Sat</v>
      </c>
      <c r="H298" s="36">
        <f t="shared" si="9"/>
        <v>7</v>
      </c>
      <c r="I298" s="224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70"/>
      <c r="E299" s="5"/>
      <c r="F299" s="198">
        <f t="shared" si="11"/>
        <v>44493</v>
      </c>
      <c r="G299" s="238" t="str">
        <f t="shared" si="10"/>
        <v>Sun</v>
      </c>
      <c r="H299" s="36">
        <f t="shared" si="9"/>
        <v>1</v>
      </c>
      <c r="I299" s="224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70"/>
      <c r="E300" s="5"/>
      <c r="F300" s="198">
        <f t="shared" si="11"/>
        <v>44494</v>
      </c>
      <c r="G300" s="238" t="str">
        <f t="shared" si="10"/>
        <v>Mon</v>
      </c>
      <c r="H300" s="36">
        <f t="shared" si="9"/>
        <v>6</v>
      </c>
      <c r="I300" s="224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70"/>
      <c r="E301" s="5"/>
      <c r="F301" s="198">
        <f t="shared" si="11"/>
        <v>44495</v>
      </c>
      <c r="G301" s="238" t="str">
        <f t="shared" si="10"/>
        <v>Tue</v>
      </c>
      <c r="H301" s="36">
        <f t="shared" si="9"/>
        <v>6</v>
      </c>
      <c r="I301" s="224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70"/>
      <c r="E302" s="5"/>
      <c r="F302" s="198">
        <f t="shared" si="11"/>
        <v>44496</v>
      </c>
      <c r="G302" s="238" t="str">
        <f t="shared" si="10"/>
        <v>Wed</v>
      </c>
      <c r="H302" s="36">
        <f t="shared" si="9"/>
        <v>6</v>
      </c>
      <c r="I302" s="224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70"/>
      <c r="E303" s="5"/>
      <c r="F303" s="198">
        <f t="shared" si="11"/>
        <v>44497</v>
      </c>
      <c r="G303" s="238" t="str">
        <f t="shared" si="10"/>
        <v>Thu</v>
      </c>
      <c r="H303" s="36">
        <f t="shared" si="9"/>
        <v>6</v>
      </c>
      <c r="I303" s="224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70"/>
      <c r="E304" s="5"/>
      <c r="F304" s="198">
        <f t="shared" si="11"/>
        <v>44498</v>
      </c>
      <c r="G304" s="238" t="str">
        <f t="shared" si="10"/>
        <v>Fri</v>
      </c>
      <c r="H304" s="36">
        <f t="shared" si="9"/>
        <v>6</v>
      </c>
      <c r="I304" s="224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70"/>
      <c r="E305" s="5"/>
      <c r="F305" s="198">
        <f t="shared" si="11"/>
        <v>44499</v>
      </c>
      <c r="G305" s="238" t="str">
        <f t="shared" si="10"/>
        <v>Sat</v>
      </c>
      <c r="H305" s="36">
        <f t="shared" si="9"/>
        <v>7</v>
      </c>
      <c r="I305" s="224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70"/>
      <c r="E306" s="5"/>
      <c r="F306" s="198">
        <f t="shared" si="11"/>
        <v>44500</v>
      </c>
      <c r="G306" s="238" t="str">
        <f t="shared" si="10"/>
        <v>Sun</v>
      </c>
      <c r="H306" s="36">
        <f t="shared" si="9"/>
        <v>1</v>
      </c>
      <c r="I306" s="224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70"/>
      <c r="E307" s="5"/>
      <c r="F307" s="198">
        <f t="shared" si="11"/>
        <v>44501</v>
      </c>
      <c r="G307" s="238" t="str">
        <f t="shared" si="10"/>
        <v>Mon</v>
      </c>
      <c r="H307" s="36">
        <v>87</v>
      </c>
      <c r="I307" s="224" t="s">
        <v>218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70"/>
      <c r="E308" s="5"/>
      <c r="F308" s="198">
        <f t="shared" si="11"/>
        <v>44502</v>
      </c>
      <c r="G308" s="238" t="str">
        <f t="shared" si="10"/>
        <v>Tue</v>
      </c>
      <c r="H308" s="36">
        <v>87</v>
      </c>
      <c r="I308" s="224" t="s">
        <v>219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70"/>
      <c r="E309" s="5"/>
      <c r="F309" s="198">
        <f t="shared" si="11"/>
        <v>44503</v>
      </c>
      <c r="G309" s="238" t="str">
        <f t="shared" si="10"/>
        <v>Wed</v>
      </c>
      <c r="H309" s="36">
        <f t="shared" ref="H309:H335" si="12">IF(G309="Sun",1,IF(G309="Sat",7,6))</f>
        <v>6</v>
      </c>
      <c r="I309" s="224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70"/>
      <c r="E310" s="5"/>
      <c r="F310" s="198">
        <f t="shared" si="11"/>
        <v>44504</v>
      </c>
      <c r="G310" s="238" t="str">
        <f t="shared" si="10"/>
        <v>Thu</v>
      </c>
      <c r="H310" s="36">
        <f t="shared" si="12"/>
        <v>6</v>
      </c>
      <c r="I310" s="224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70"/>
      <c r="E311" s="5"/>
      <c r="F311" s="198">
        <f t="shared" si="11"/>
        <v>44505</v>
      </c>
      <c r="G311" s="238" t="str">
        <f t="shared" si="10"/>
        <v>Fri</v>
      </c>
      <c r="H311" s="36">
        <f t="shared" si="12"/>
        <v>6</v>
      </c>
      <c r="I311" s="224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70"/>
      <c r="E312" s="5"/>
      <c r="F312" s="198">
        <f t="shared" si="11"/>
        <v>44506</v>
      </c>
      <c r="G312" s="238" t="str">
        <f t="shared" si="10"/>
        <v>Sat</v>
      </c>
      <c r="H312" s="36">
        <f t="shared" si="12"/>
        <v>7</v>
      </c>
      <c r="I312" s="224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70"/>
      <c r="E313" s="5"/>
      <c r="F313" s="198">
        <f t="shared" si="11"/>
        <v>44507</v>
      </c>
      <c r="G313" s="238" t="str">
        <f t="shared" si="10"/>
        <v>Sun</v>
      </c>
      <c r="H313" s="36">
        <f t="shared" si="12"/>
        <v>1</v>
      </c>
      <c r="I313" s="224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70"/>
      <c r="E314" s="5"/>
      <c r="F314" s="198">
        <f t="shared" si="11"/>
        <v>44508</v>
      </c>
      <c r="G314" s="238" t="str">
        <f t="shared" si="10"/>
        <v>Mon</v>
      </c>
      <c r="H314" s="36">
        <f t="shared" si="12"/>
        <v>6</v>
      </c>
      <c r="I314" s="224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70"/>
      <c r="E315" s="5"/>
      <c r="F315" s="198">
        <f t="shared" si="11"/>
        <v>44509</v>
      </c>
      <c r="G315" s="238" t="str">
        <f t="shared" si="10"/>
        <v>Tue</v>
      </c>
      <c r="H315" s="36">
        <f t="shared" si="12"/>
        <v>6</v>
      </c>
      <c r="I315" s="224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70"/>
      <c r="E316" s="5"/>
      <c r="F316" s="198">
        <f t="shared" si="11"/>
        <v>44510</v>
      </c>
      <c r="G316" s="238" t="str">
        <f t="shared" si="10"/>
        <v>Wed</v>
      </c>
      <c r="H316" s="36">
        <f t="shared" si="12"/>
        <v>6</v>
      </c>
      <c r="I316" s="224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70"/>
      <c r="E317" s="5"/>
      <c r="F317" s="198">
        <f t="shared" si="11"/>
        <v>44511</v>
      </c>
      <c r="G317" s="238" t="str">
        <f t="shared" si="10"/>
        <v>Thu</v>
      </c>
      <c r="H317" s="36">
        <f t="shared" si="12"/>
        <v>6</v>
      </c>
      <c r="I317" s="224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70"/>
      <c r="E318" s="5"/>
      <c r="F318" s="198">
        <f t="shared" si="11"/>
        <v>44512</v>
      </c>
      <c r="G318" s="238" t="str">
        <f t="shared" si="10"/>
        <v>Fri</v>
      </c>
      <c r="H318" s="36">
        <f t="shared" si="12"/>
        <v>6</v>
      </c>
      <c r="I318" s="224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70"/>
      <c r="E319" s="5"/>
      <c r="F319" s="198">
        <f t="shared" si="11"/>
        <v>44513</v>
      </c>
      <c r="G319" s="238" t="str">
        <f t="shared" si="10"/>
        <v>Sat</v>
      </c>
      <c r="H319" s="36">
        <f t="shared" si="12"/>
        <v>7</v>
      </c>
      <c r="I319" s="224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70"/>
      <c r="E320" s="5"/>
      <c r="F320" s="198">
        <f t="shared" si="11"/>
        <v>44514</v>
      </c>
      <c r="G320" s="238" t="str">
        <f t="shared" si="10"/>
        <v>Sun</v>
      </c>
      <c r="H320" s="36">
        <f t="shared" si="12"/>
        <v>1</v>
      </c>
      <c r="I320" s="224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70"/>
      <c r="E321" s="5"/>
      <c r="F321" s="198">
        <f t="shared" si="11"/>
        <v>44515</v>
      </c>
      <c r="G321" s="238" t="str">
        <f t="shared" si="10"/>
        <v>Mon</v>
      </c>
      <c r="H321" s="36">
        <f t="shared" si="12"/>
        <v>6</v>
      </c>
      <c r="I321" s="224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70"/>
      <c r="E322" s="5"/>
      <c r="F322" s="198">
        <f t="shared" si="11"/>
        <v>44516</v>
      </c>
      <c r="G322" s="238" t="str">
        <f t="shared" si="10"/>
        <v>Tue</v>
      </c>
      <c r="H322" s="36">
        <f t="shared" si="12"/>
        <v>6</v>
      </c>
      <c r="I322" s="224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70"/>
      <c r="E323" s="5"/>
      <c r="F323" s="198">
        <f t="shared" si="11"/>
        <v>44517</v>
      </c>
      <c r="G323" s="238" t="str">
        <f t="shared" si="10"/>
        <v>Wed</v>
      </c>
      <c r="H323" s="36">
        <f t="shared" si="12"/>
        <v>6</v>
      </c>
      <c r="I323" s="224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70"/>
      <c r="E324" s="5"/>
      <c r="F324" s="198">
        <f t="shared" si="11"/>
        <v>44518</v>
      </c>
      <c r="G324" s="238" t="str">
        <f t="shared" si="10"/>
        <v>Thu</v>
      </c>
      <c r="H324" s="36">
        <f t="shared" si="12"/>
        <v>6</v>
      </c>
      <c r="I324" s="224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70"/>
      <c r="E325" s="5"/>
      <c r="F325" s="198">
        <f t="shared" si="11"/>
        <v>44519</v>
      </c>
      <c r="G325" s="238" t="str">
        <f t="shared" si="10"/>
        <v>Fri</v>
      </c>
      <c r="H325" s="36">
        <f t="shared" si="12"/>
        <v>6</v>
      </c>
      <c r="I325" s="224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70"/>
      <c r="E326" s="5"/>
      <c r="F326" s="198">
        <f t="shared" si="11"/>
        <v>44520</v>
      </c>
      <c r="G326" s="238" t="str">
        <f t="shared" si="10"/>
        <v>Sat</v>
      </c>
      <c r="H326" s="36">
        <f t="shared" si="12"/>
        <v>7</v>
      </c>
      <c r="I326" s="224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70"/>
      <c r="E327" s="5"/>
      <c r="F327" s="198">
        <f t="shared" si="11"/>
        <v>44521</v>
      </c>
      <c r="G327" s="238" t="str">
        <f t="shared" si="10"/>
        <v>Sun</v>
      </c>
      <c r="H327" s="36">
        <f t="shared" si="12"/>
        <v>1</v>
      </c>
      <c r="I327" s="224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70"/>
      <c r="E328" s="5"/>
      <c r="F328" s="198">
        <f t="shared" si="11"/>
        <v>44522</v>
      </c>
      <c r="G328" s="238" t="str">
        <f t="shared" si="10"/>
        <v>Mon</v>
      </c>
      <c r="H328" s="36">
        <f t="shared" si="12"/>
        <v>6</v>
      </c>
      <c r="I328" s="224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70"/>
      <c r="E329" s="5"/>
      <c r="F329" s="198">
        <f t="shared" si="11"/>
        <v>44523</v>
      </c>
      <c r="G329" s="238" t="str">
        <f t="shared" si="10"/>
        <v>Tue</v>
      </c>
      <c r="H329" s="36">
        <f t="shared" si="12"/>
        <v>6</v>
      </c>
      <c r="I329" s="224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70"/>
      <c r="E330" s="5"/>
      <c r="F330" s="198">
        <f t="shared" si="11"/>
        <v>44524</v>
      </c>
      <c r="G330" s="238" t="str">
        <f t="shared" si="10"/>
        <v>Wed</v>
      </c>
      <c r="H330" s="36">
        <f t="shared" si="12"/>
        <v>6</v>
      </c>
      <c r="I330" s="224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70"/>
      <c r="E331" s="5"/>
      <c r="F331" s="198">
        <f t="shared" si="11"/>
        <v>44525</v>
      </c>
      <c r="G331" s="238" t="str">
        <f t="shared" si="10"/>
        <v>Thu</v>
      </c>
      <c r="H331" s="36">
        <f t="shared" si="12"/>
        <v>6</v>
      </c>
      <c r="I331" s="224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70"/>
      <c r="E332" s="5"/>
      <c r="F332" s="198">
        <f t="shared" si="11"/>
        <v>44526</v>
      </c>
      <c r="G332" s="238" t="str">
        <f t="shared" si="10"/>
        <v>Fri</v>
      </c>
      <c r="H332" s="36">
        <f t="shared" si="12"/>
        <v>6</v>
      </c>
      <c r="I332" s="224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70"/>
      <c r="E333" s="5"/>
      <c r="F333" s="198">
        <f t="shared" si="11"/>
        <v>44527</v>
      </c>
      <c r="G333" s="238" t="str">
        <f t="shared" si="10"/>
        <v>Sat</v>
      </c>
      <c r="H333" s="36">
        <f t="shared" si="12"/>
        <v>7</v>
      </c>
      <c r="I333" s="224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70"/>
      <c r="E334" s="5"/>
      <c r="F334" s="198">
        <f t="shared" si="11"/>
        <v>44528</v>
      </c>
      <c r="G334" s="238" t="str">
        <f t="shared" si="10"/>
        <v>Sun</v>
      </c>
      <c r="H334" s="36">
        <f t="shared" si="12"/>
        <v>1</v>
      </c>
      <c r="I334" s="224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70"/>
      <c r="E335" s="5"/>
      <c r="F335" s="198">
        <f t="shared" si="11"/>
        <v>44529</v>
      </c>
      <c r="G335" s="238" t="str">
        <f t="shared" si="10"/>
        <v>Mon</v>
      </c>
      <c r="H335" s="36">
        <f t="shared" si="12"/>
        <v>6</v>
      </c>
      <c r="I335" s="224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70"/>
      <c r="E336" s="5"/>
      <c r="F336" s="198">
        <f t="shared" si="11"/>
        <v>44530</v>
      </c>
      <c r="G336" s="238" t="str">
        <f t="shared" si="10"/>
        <v>Tue</v>
      </c>
      <c r="H336" s="36">
        <v>97</v>
      </c>
      <c r="I336" s="224" t="s">
        <v>220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70"/>
      <c r="E337" s="5"/>
      <c r="F337" s="198">
        <f t="shared" si="11"/>
        <v>44531</v>
      </c>
      <c r="G337" s="238" t="str">
        <f t="shared" si="10"/>
        <v>Wed</v>
      </c>
      <c r="H337" s="36">
        <f t="shared" ref="H337:H343" si="13">IF(G337="Sun",1,IF(G337="Sat",7,6))</f>
        <v>6</v>
      </c>
      <c r="I337" s="224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70"/>
      <c r="E338" s="5"/>
      <c r="F338" s="198">
        <f t="shared" si="11"/>
        <v>44532</v>
      </c>
      <c r="G338" s="238" t="str">
        <f t="shared" si="10"/>
        <v>Thu</v>
      </c>
      <c r="H338" s="36">
        <f t="shared" si="13"/>
        <v>6</v>
      </c>
      <c r="I338" s="224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70"/>
      <c r="E339" s="5"/>
      <c r="F339" s="198">
        <f t="shared" si="11"/>
        <v>44533</v>
      </c>
      <c r="G339" s="238" t="str">
        <f t="shared" si="10"/>
        <v>Fri</v>
      </c>
      <c r="H339" s="36">
        <f t="shared" si="13"/>
        <v>6</v>
      </c>
      <c r="I339" s="224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70"/>
      <c r="E340" s="5"/>
      <c r="F340" s="198">
        <f t="shared" si="11"/>
        <v>44534</v>
      </c>
      <c r="G340" s="238" t="str">
        <f t="shared" si="10"/>
        <v>Sat</v>
      </c>
      <c r="H340" s="36">
        <f t="shared" si="13"/>
        <v>7</v>
      </c>
      <c r="I340" s="224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70"/>
      <c r="E341" s="5"/>
      <c r="F341" s="198">
        <f t="shared" si="11"/>
        <v>44535</v>
      </c>
      <c r="G341" s="238" t="str">
        <f t="shared" si="10"/>
        <v>Sun</v>
      </c>
      <c r="H341" s="36">
        <f t="shared" si="13"/>
        <v>1</v>
      </c>
      <c r="I341" s="224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70"/>
      <c r="E342" s="5"/>
      <c r="F342" s="198">
        <f t="shared" si="11"/>
        <v>44536</v>
      </c>
      <c r="G342" s="238" t="str">
        <f t="shared" si="10"/>
        <v>Mon</v>
      </c>
      <c r="H342" s="36">
        <f t="shared" si="13"/>
        <v>6</v>
      </c>
      <c r="I342" s="224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70"/>
      <c r="E343" s="5"/>
      <c r="F343" s="198">
        <f t="shared" si="11"/>
        <v>44537</v>
      </c>
      <c r="G343" s="238" t="str">
        <f t="shared" si="10"/>
        <v>Tue</v>
      </c>
      <c r="H343" s="36">
        <f t="shared" si="13"/>
        <v>6</v>
      </c>
      <c r="I343" s="224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70"/>
      <c r="E344" s="5"/>
      <c r="F344" s="198">
        <f t="shared" si="11"/>
        <v>44538</v>
      </c>
      <c r="G344" s="238" t="str">
        <f t="shared" si="10"/>
        <v>Wed</v>
      </c>
      <c r="H344" s="36">
        <v>87</v>
      </c>
      <c r="I344" s="224" t="s">
        <v>221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70"/>
      <c r="E345" s="5"/>
      <c r="F345" s="198">
        <f t="shared" si="11"/>
        <v>44539</v>
      </c>
      <c r="G345" s="238" t="str">
        <f t="shared" si="10"/>
        <v>Thu</v>
      </c>
      <c r="H345" s="36">
        <f t="shared" ref="H345:H359" si="14">IF(G345="Sun",1,IF(G345="Sat",7,6))</f>
        <v>6</v>
      </c>
      <c r="I345" s="224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70"/>
      <c r="E346" s="5"/>
      <c r="F346" s="198">
        <f t="shared" si="11"/>
        <v>44540</v>
      </c>
      <c r="G346" s="238" t="str">
        <f t="shared" si="10"/>
        <v>Fri</v>
      </c>
      <c r="H346" s="36">
        <f t="shared" si="14"/>
        <v>6</v>
      </c>
      <c r="I346" s="224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70"/>
      <c r="E347" s="5"/>
      <c r="F347" s="198">
        <f t="shared" si="11"/>
        <v>44541</v>
      </c>
      <c r="G347" s="238" t="str">
        <f t="shared" si="10"/>
        <v>Sat</v>
      </c>
      <c r="H347" s="36">
        <f t="shared" si="14"/>
        <v>7</v>
      </c>
      <c r="I347" s="224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70"/>
      <c r="E348" s="5"/>
      <c r="F348" s="198">
        <f t="shared" si="11"/>
        <v>44542</v>
      </c>
      <c r="G348" s="238" t="str">
        <f t="shared" si="10"/>
        <v>Sun</v>
      </c>
      <c r="H348" s="36">
        <f t="shared" si="14"/>
        <v>1</v>
      </c>
      <c r="I348" s="224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70"/>
      <c r="E349" s="5"/>
      <c r="F349" s="198">
        <f t="shared" si="11"/>
        <v>44543</v>
      </c>
      <c r="G349" s="238" t="str">
        <f t="shared" si="10"/>
        <v>Mon</v>
      </c>
      <c r="H349" s="36">
        <f t="shared" si="14"/>
        <v>6</v>
      </c>
      <c r="I349" s="224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70"/>
      <c r="E350" s="5"/>
      <c r="F350" s="198">
        <f t="shared" si="11"/>
        <v>44544</v>
      </c>
      <c r="G350" s="238" t="str">
        <f t="shared" si="10"/>
        <v>Tue</v>
      </c>
      <c r="H350" s="36">
        <f t="shared" si="14"/>
        <v>6</v>
      </c>
      <c r="I350" s="224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70"/>
      <c r="E351" s="5"/>
      <c r="F351" s="198">
        <f t="shared" si="11"/>
        <v>44545</v>
      </c>
      <c r="G351" s="238" t="str">
        <f t="shared" si="10"/>
        <v>Wed</v>
      </c>
      <c r="H351" s="36">
        <f t="shared" si="14"/>
        <v>6</v>
      </c>
      <c r="I351" s="224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70"/>
      <c r="E352" s="5"/>
      <c r="F352" s="198">
        <f t="shared" si="11"/>
        <v>44546</v>
      </c>
      <c r="G352" s="238" t="str">
        <f t="shared" si="10"/>
        <v>Thu</v>
      </c>
      <c r="H352" s="36">
        <f t="shared" si="14"/>
        <v>6</v>
      </c>
      <c r="I352" s="224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70"/>
      <c r="E353" s="5"/>
      <c r="F353" s="198">
        <f t="shared" si="11"/>
        <v>44547</v>
      </c>
      <c r="G353" s="238" t="str">
        <f t="shared" si="10"/>
        <v>Fri</v>
      </c>
      <c r="H353" s="36">
        <f t="shared" si="14"/>
        <v>6</v>
      </c>
      <c r="I353" s="224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70"/>
      <c r="E354" s="5"/>
      <c r="F354" s="198">
        <f t="shared" si="11"/>
        <v>44548</v>
      </c>
      <c r="G354" s="238" t="str">
        <f t="shared" si="10"/>
        <v>Sat</v>
      </c>
      <c r="H354" s="36">
        <f t="shared" si="14"/>
        <v>7</v>
      </c>
      <c r="I354" s="224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70"/>
      <c r="E355" s="5"/>
      <c r="F355" s="198">
        <f t="shared" si="11"/>
        <v>44549</v>
      </c>
      <c r="G355" s="238" t="str">
        <f t="shared" si="10"/>
        <v>Sun</v>
      </c>
      <c r="H355" s="36">
        <f t="shared" si="14"/>
        <v>1</v>
      </c>
      <c r="I355" s="224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70"/>
      <c r="E356" s="5"/>
      <c r="F356" s="198">
        <f t="shared" si="11"/>
        <v>44550</v>
      </c>
      <c r="G356" s="238" t="str">
        <f t="shared" si="10"/>
        <v>Mon</v>
      </c>
      <c r="H356" s="36">
        <f t="shared" si="14"/>
        <v>6</v>
      </c>
      <c r="I356" s="224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70"/>
      <c r="E357" s="5"/>
      <c r="F357" s="198">
        <f t="shared" si="11"/>
        <v>44551</v>
      </c>
      <c r="G357" s="238" t="str">
        <f t="shared" si="10"/>
        <v>Tue</v>
      </c>
      <c r="H357" s="36">
        <f t="shared" si="14"/>
        <v>6</v>
      </c>
      <c r="I357" s="224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70"/>
      <c r="E358" s="5"/>
      <c r="F358" s="198">
        <f t="shared" si="11"/>
        <v>44552</v>
      </c>
      <c r="G358" s="238" t="str">
        <f t="shared" si="10"/>
        <v>Wed</v>
      </c>
      <c r="H358" s="36">
        <f t="shared" si="14"/>
        <v>6</v>
      </c>
      <c r="I358" s="224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70"/>
      <c r="E359" s="5"/>
      <c r="F359" s="198">
        <f t="shared" si="11"/>
        <v>44553</v>
      </c>
      <c r="G359" s="238" t="str">
        <f t="shared" si="10"/>
        <v>Thu</v>
      </c>
      <c r="H359" s="36">
        <f t="shared" si="14"/>
        <v>6</v>
      </c>
      <c r="I359" s="224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70"/>
      <c r="E360" s="5"/>
      <c r="F360" s="198">
        <f t="shared" si="11"/>
        <v>44554</v>
      </c>
      <c r="G360" s="238" t="str">
        <f t="shared" si="10"/>
        <v>Fri</v>
      </c>
      <c r="H360" s="36">
        <v>87</v>
      </c>
      <c r="I360" s="224" t="s">
        <v>219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70"/>
      <c r="E361" s="5"/>
      <c r="F361" s="198">
        <f t="shared" si="11"/>
        <v>44555</v>
      </c>
      <c r="G361" s="238" t="str">
        <f t="shared" si="10"/>
        <v>Sat</v>
      </c>
      <c r="H361" s="36">
        <v>91</v>
      </c>
      <c r="I361" s="224" t="s">
        <v>222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70"/>
      <c r="E362" s="5"/>
      <c r="F362" s="198">
        <f t="shared" si="11"/>
        <v>44556</v>
      </c>
      <c r="G362" s="238" t="str">
        <f t="shared" si="10"/>
        <v>Sun</v>
      </c>
      <c r="H362" s="36">
        <f>IF(G362="Sun",1,IF(G362="Sat",7,6))</f>
        <v>1</v>
      </c>
      <c r="I362" s="224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70"/>
      <c r="E363" s="5"/>
      <c r="F363" s="198">
        <f t="shared" si="11"/>
        <v>44557</v>
      </c>
      <c r="G363" s="238" t="str">
        <f t="shared" si="10"/>
        <v>Mon</v>
      </c>
      <c r="H363" s="36">
        <f>IF(G363="Sun",1,IF(G363="Sat",7,6))</f>
        <v>6</v>
      </c>
      <c r="I363" s="224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70"/>
      <c r="E364" s="5"/>
      <c r="F364" s="198">
        <f t="shared" si="11"/>
        <v>44558</v>
      </c>
      <c r="G364" s="238" t="str">
        <f t="shared" si="10"/>
        <v>Tue</v>
      </c>
      <c r="H364" s="36">
        <f>IF(G364="Sun",1,IF(G364="Sat",7,6))</f>
        <v>6</v>
      </c>
      <c r="I364" s="224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70"/>
      <c r="E365" s="5"/>
      <c r="F365" s="198">
        <f t="shared" si="11"/>
        <v>44559</v>
      </c>
      <c r="G365" s="238" t="str">
        <f t="shared" si="10"/>
        <v>Wed</v>
      </c>
      <c r="H365" s="36">
        <f>IF(G365="Sun",1,IF(G365="Sat",7,6))</f>
        <v>6</v>
      </c>
      <c r="I365" s="224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70"/>
      <c r="E366" s="5"/>
      <c r="F366" s="198">
        <f t="shared" si="11"/>
        <v>44560</v>
      </c>
      <c r="G366" s="238" t="str">
        <f t="shared" si="10"/>
        <v>Thu</v>
      </c>
      <c r="H366" s="36">
        <v>97</v>
      </c>
      <c r="I366" s="224" t="s">
        <v>223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70"/>
      <c r="E367" s="5"/>
      <c r="F367" s="198">
        <f t="shared" si="11"/>
        <v>44561</v>
      </c>
      <c r="G367" s="238" t="str">
        <f t="shared" si="10"/>
        <v>Fri</v>
      </c>
      <c r="H367" s="36">
        <v>87</v>
      </c>
      <c r="I367" s="224" t="s">
        <v>219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70"/>
      <c r="E368" s="5"/>
      <c r="F368" s="65"/>
      <c r="G368" s="6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70"/>
      <c r="E369" s="5"/>
      <c r="F369" s="65"/>
      <c r="G369" s="6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70"/>
      <c r="E370" s="5"/>
      <c r="F370" s="65"/>
      <c r="G370" s="6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70"/>
      <c r="E371" s="5"/>
      <c r="F371" s="65"/>
      <c r="G371" s="6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70"/>
      <c r="E372" s="5"/>
      <c r="F372" s="65"/>
      <c r="G372" s="6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70"/>
      <c r="E373" s="5"/>
      <c r="F373" s="65"/>
      <c r="G373" s="6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70"/>
      <c r="E374" s="5"/>
      <c r="F374" s="65"/>
      <c r="G374" s="6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70"/>
      <c r="E375" s="5"/>
      <c r="F375" s="65"/>
      <c r="G375" s="6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70"/>
      <c r="E376" s="5"/>
      <c r="F376" s="65"/>
      <c r="G376" s="6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70"/>
      <c r="E377" s="5"/>
      <c r="F377" s="65"/>
      <c r="G377" s="6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70"/>
      <c r="E378" s="5"/>
      <c r="F378" s="65"/>
      <c r="G378" s="6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70"/>
      <c r="E379" s="5"/>
      <c r="F379" s="65"/>
      <c r="G379" s="6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70"/>
      <c r="E380" s="5"/>
      <c r="F380" s="65"/>
      <c r="G380" s="6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70"/>
      <c r="E381" s="5"/>
      <c r="F381" s="65"/>
      <c r="G381" s="6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70"/>
      <c r="E382" s="5"/>
      <c r="F382" s="65"/>
      <c r="G382" s="6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70"/>
      <c r="E383" s="5"/>
      <c r="F383" s="65"/>
      <c r="G383" s="6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70"/>
      <c r="E384" s="5"/>
      <c r="F384" s="65"/>
      <c r="G384" s="6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70"/>
      <c r="E385" s="5"/>
      <c r="F385" s="65"/>
      <c r="G385" s="6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70"/>
      <c r="E386" s="5"/>
      <c r="F386" s="65"/>
      <c r="G386" s="6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70"/>
      <c r="E387" s="5"/>
      <c r="F387" s="65"/>
      <c r="G387" s="6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70"/>
      <c r="E388" s="5"/>
      <c r="F388" s="65"/>
      <c r="G388" s="6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70"/>
      <c r="E389" s="5"/>
      <c r="F389" s="65"/>
      <c r="G389" s="6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70"/>
      <c r="E390" s="5"/>
      <c r="F390" s="65"/>
      <c r="G390" s="6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70"/>
      <c r="E391" s="5"/>
      <c r="F391" s="65"/>
      <c r="G391" s="6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70"/>
      <c r="E392" s="5"/>
      <c r="F392" s="65"/>
      <c r="G392" s="6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70"/>
      <c r="E393" s="5"/>
      <c r="F393" s="65"/>
      <c r="G393" s="6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70"/>
      <c r="E394" s="5"/>
      <c r="F394" s="65"/>
      <c r="G394" s="6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70"/>
      <c r="E395" s="5"/>
      <c r="F395" s="65"/>
      <c r="G395" s="6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70"/>
      <c r="E396" s="5"/>
      <c r="F396" s="65"/>
      <c r="G396" s="6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70"/>
      <c r="E397" s="5"/>
      <c r="F397" s="65"/>
      <c r="G397" s="6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70"/>
      <c r="E398" s="5"/>
      <c r="F398" s="65"/>
      <c r="G398" s="6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70"/>
      <c r="E399" s="5"/>
      <c r="F399" s="65"/>
      <c r="G399" s="6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70"/>
      <c r="E400" s="5"/>
      <c r="F400" s="65"/>
      <c r="G400" s="6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70"/>
      <c r="E401" s="5"/>
      <c r="F401" s="65"/>
      <c r="G401" s="6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70"/>
      <c r="E402" s="5"/>
      <c r="F402" s="65"/>
      <c r="G402" s="6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70"/>
      <c r="E403" s="5"/>
      <c r="F403" s="65"/>
      <c r="G403" s="6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70"/>
      <c r="E404" s="5"/>
      <c r="F404" s="65"/>
      <c r="G404" s="6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70"/>
      <c r="E405" s="5"/>
      <c r="F405" s="65"/>
      <c r="G405" s="6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70"/>
      <c r="E406" s="5"/>
      <c r="F406" s="65"/>
      <c r="G406" s="6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70"/>
      <c r="E407" s="5"/>
      <c r="F407" s="65"/>
      <c r="G407" s="6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70"/>
      <c r="E408" s="5"/>
      <c r="F408" s="65"/>
      <c r="G408" s="6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70"/>
      <c r="E409" s="5"/>
      <c r="F409" s="65"/>
      <c r="G409" s="6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70"/>
      <c r="E410" s="5"/>
      <c r="F410" s="65"/>
      <c r="G410" s="6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70"/>
      <c r="E411" s="5"/>
      <c r="F411" s="65"/>
      <c r="G411" s="6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70"/>
      <c r="E412" s="5"/>
      <c r="F412" s="65"/>
      <c r="G412" s="6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70"/>
      <c r="E413" s="5"/>
      <c r="F413" s="65"/>
      <c r="G413" s="6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70"/>
      <c r="E414" s="5"/>
      <c r="F414" s="65"/>
      <c r="G414" s="6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70"/>
      <c r="E415" s="5"/>
      <c r="F415" s="65"/>
      <c r="G415" s="6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70"/>
      <c r="E416" s="5"/>
      <c r="F416" s="65"/>
      <c r="G416" s="6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70"/>
      <c r="E417" s="5"/>
      <c r="F417" s="65"/>
      <c r="G417" s="6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70"/>
      <c r="E418" s="5"/>
      <c r="F418" s="65"/>
      <c r="G418" s="6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70"/>
      <c r="E419" s="5"/>
      <c r="F419" s="65"/>
      <c r="G419" s="6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70"/>
      <c r="E420" s="5"/>
      <c r="F420" s="65"/>
      <c r="G420" s="6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70"/>
      <c r="E421" s="5"/>
      <c r="F421" s="65"/>
      <c r="G421" s="6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70"/>
      <c r="E422" s="5"/>
      <c r="F422" s="65"/>
      <c r="G422" s="6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70"/>
      <c r="E423" s="5"/>
      <c r="F423" s="65"/>
      <c r="G423" s="6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70"/>
      <c r="E424" s="5"/>
      <c r="F424" s="65"/>
      <c r="G424" s="6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70"/>
      <c r="E425" s="5"/>
      <c r="F425" s="65"/>
      <c r="G425" s="6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70"/>
      <c r="E426" s="5"/>
      <c r="F426" s="65"/>
      <c r="G426" s="6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70"/>
      <c r="E427" s="5"/>
      <c r="F427" s="65"/>
      <c r="G427" s="6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70"/>
      <c r="E428" s="5"/>
      <c r="F428" s="65"/>
      <c r="G428" s="6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70"/>
      <c r="E429" s="5"/>
      <c r="F429" s="65"/>
      <c r="G429" s="6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70"/>
      <c r="E430" s="5"/>
      <c r="F430" s="65"/>
      <c r="G430" s="6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70"/>
      <c r="E431" s="5"/>
      <c r="F431" s="65"/>
      <c r="G431" s="6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70"/>
      <c r="E432" s="5"/>
      <c r="F432" s="65"/>
      <c r="G432" s="6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70"/>
      <c r="E433" s="5"/>
      <c r="F433" s="65"/>
      <c r="G433" s="6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70"/>
      <c r="E434" s="5"/>
      <c r="F434" s="65"/>
      <c r="G434" s="6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70"/>
      <c r="E435" s="5"/>
      <c r="F435" s="65"/>
      <c r="G435" s="6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70"/>
      <c r="E436" s="5"/>
      <c r="F436" s="65"/>
      <c r="G436" s="6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70"/>
      <c r="E437" s="5"/>
      <c r="F437" s="65"/>
      <c r="G437" s="6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70"/>
      <c r="E438" s="5"/>
      <c r="F438" s="65"/>
      <c r="G438" s="6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70"/>
      <c r="E439" s="5"/>
      <c r="F439" s="65"/>
      <c r="G439" s="6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70"/>
      <c r="E440" s="5"/>
      <c r="F440" s="65"/>
      <c r="G440" s="6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70"/>
      <c r="E441" s="5"/>
      <c r="F441" s="65"/>
      <c r="G441" s="6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70"/>
      <c r="E442" s="5"/>
      <c r="F442" s="65"/>
      <c r="G442" s="6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70"/>
      <c r="E443" s="5"/>
      <c r="F443" s="65"/>
      <c r="G443" s="6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70"/>
      <c r="E444" s="5"/>
      <c r="F444" s="65"/>
      <c r="G444" s="6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70"/>
      <c r="E445" s="5"/>
      <c r="F445" s="65"/>
      <c r="G445" s="6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70"/>
      <c r="E446" s="5"/>
      <c r="F446" s="65"/>
      <c r="G446" s="6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70"/>
      <c r="E447" s="5"/>
      <c r="F447" s="65"/>
      <c r="G447" s="6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70"/>
      <c r="E448" s="5"/>
      <c r="F448" s="65"/>
      <c r="G448" s="6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70"/>
      <c r="E449" s="5"/>
      <c r="F449" s="65"/>
      <c r="G449" s="6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70"/>
      <c r="E450" s="5"/>
      <c r="F450" s="65"/>
      <c r="G450" s="6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70"/>
      <c r="E451" s="5"/>
      <c r="F451" s="65"/>
      <c r="G451" s="6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70"/>
      <c r="E452" s="5"/>
      <c r="F452" s="65"/>
      <c r="G452" s="6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70"/>
      <c r="E453" s="5"/>
      <c r="F453" s="65"/>
      <c r="G453" s="6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70"/>
      <c r="E454" s="5"/>
      <c r="F454" s="65"/>
      <c r="G454" s="6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70"/>
      <c r="E455" s="5"/>
      <c r="F455" s="65"/>
      <c r="G455" s="6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70"/>
      <c r="E456" s="5"/>
      <c r="F456" s="65"/>
      <c r="G456" s="6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70"/>
      <c r="E457" s="5"/>
      <c r="F457" s="65"/>
      <c r="G457" s="6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70"/>
      <c r="E458" s="5"/>
      <c r="F458" s="65"/>
      <c r="G458" s="6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70"/>
      <c r="E459" s="5"/>
      <c r="F459" s="65"/>
      <c r="G459" s="6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70"/>
      <c r="E460" s="5"/>
      <c r="F460" s="65"/>
      <c r="G460" s="6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70"/>
      <c r="E461" s="5"/>
      <c r="F461" s="65"/>
      <c r="G461" s="6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70"/>
      <c r="E462" s="5"/>
      <c r="F462" s="65"/>
      <c r="G462" s="6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70"/>
      <c r="E463" s="5"/>
      <c r="F463" s="65"/>
      <c r="G463" s="6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70"/>
      <c r="E464" s="5"/>
      <c r="F464" s="65"/>
      <c r="G464" s="6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70"/>
      <c r="E465" s="5"/>
      <c r="F465" s="65"/>
      <c r="G465" s="6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70"/>
      <c r="E466" s="5"/>
      <c r="F466" s="65"/>
      <c r="G466" s="6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70"/>
      <c r="E467" s="5"/>
      <c r="F467" s="65"/>
      <c r="G467" s="6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70"/>
      <c r="E468" s="5"/>
      <c r="F468" s="65"/>
      <c r="G468" s="6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70"/>
      <c r="E469" s="5"/>
      <c r="F469" s="65"/>
      <c r="G469" s="6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70"/>
      <c r="E470" s="5"/>
      <c r="F470" s="65"/>
      <c r="G470" s="6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70"/>
      <c r="E471" s="5"/>
      <c r="F471" s="65"/>
      <c r="G471" s="6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70"/>
      <c r="E472" s="5"/>
      <c r="F472" s="65"/>
      <c r="G472" s="6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70"/>
      <c r="E473" s="5"/>
      <c r="F473" s="65"/>
      <c r="G473" s="6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70"/>
      <c r="E474" s="5"/>
      <c r="F474" s="65"/>
      <c r="G474" s="6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70"/>
      <c r="E475" s="5"/>
      <c r="F475" s="65"/>
      <c r="G475" s="6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70"/>
      <c r="E476" s="5"/>
      <c r="F476" s="65"/>
      <c r="G476" s="6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70"/>
      <c r="E477" s="5"/>
      <c r="F477" s="65"/>
      <c r="G477" s="6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70"/>
      <c r="E478" s="5"/>
      <c r="F478" s="65"/>
      <c r="G478" s="6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70"/>
      <c r="E479" s="5"/>
      <c r="F479" s="65"/>
      <c r="G479" s="6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70"/>
      <c r="E480" s="5"/>
      <c r="F480" s="65"/>
      <c r="G480" s="6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70"/>
      <c r="E481" s="5"/>
      <c r="F481" s="65"/>
      <c r="G481" s="6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70"/>
      <c r="E482" s="5"/>
      <c r="F482" s="65"/>
      <c r="G482" s="6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70"/>
      <c r="E483" s="5"/>
      <c r="F483" s="65"/>
      <c r="G483" s="6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70"/>
      <c r="E484" s="5"/>
      <c r="F484" s="65"/>
      <c r="G484" s="6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70"/>
      <c r="E485" s="5"/>
      <c r="F485" s="65"/>
      <c r="G485" s="6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70"/>
      <c r="E486" s="5"/>
      <c r="F486" s="65"/>
      <c r="G486" s="6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70"/>
      <c r="E487" s="5"/>
      <c r="F487" s="65"/>
      <c r="G487" s="6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70"/>
      <c r="E488" s="5"/>
      <c r="F488" s="65"/>
      <c r="G488" s="6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70"/>
      <c r="E489" s="5"/>
      <c r="F489" s="65"/>
      <c r="G489" s="6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70"/>
      <c r="E490" s="5"/>
      <c r="F490" s="65"/>
      <c r="G490" s="6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70"/>
      <c r="E491" s="5"/>
      <c r="F491" s="65"/>
      <c r="G491" s="6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70"/>
      <c r="E492" s="5"/>
      <c r="F492" s="65"/>
      <c r="G492" s="6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70"/>
      <c r="E493" s="5"/>
      <c r="F493" s="65"/>
      <c r="G493" s="6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70"/>
      <c r="E494" s="5"/>
      <c r="F494" s="65"/>
      <c r="G494" s="6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70"/>
      <c r="E495" s="5"/>
      <c r="F495" s="65"/>
      <c r="G495" s="6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70"/>
      <c r="E496" s="5"/>
      <c r="F496" s="65"/>
      <c r="G496" s="6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70"/>
      <c r="E497" s="5"/>
      <c r="F497" s="65"/>
      <c r="G497" s="6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70"/>
      <c r="E498" s="5"/>
      <c r="F498" s="65"/>
      <c r="G498" s="6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70"/>
      <c r="E499" s="5"/>
      <c r="F499" s="65"/>
      <c r="G499" s="6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70"/>
      <c r="E500" s="5"/>
      <c r="F500" s="65"/>
      <c r="G500" s="6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70"/>
      <c r="E501" s="5"/>
      <c r="F501" s="65"/>
      <c r="G501" s="6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70"/>
      <c r="E502" s="5"/>
      <c r="F502" s="65"/>
      <c r="G502" s="6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70"/>
      <c r="E503" s="5"/>
      <c r="F503" s="65"/>
      <c r="G503" s="6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70"/>
      <c r="E504" s="5"/>
      <c r="F504" s="65"/>
      <c r="G504" s="6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70"/>
      <c r="E505" s="5"/>
      <c r="F505" s="65"/>
      <c r="G505" s="6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70"/>
      <c r="E506" s="5"/>
      <c r="F506" s="65"/>
      <c r="G506" s="6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70"/>
      <c r="E507" s="5"/>
      <c r="F507" s="65"/>
      <c r="G507" s="6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70"/>
      <c r="E508" s="5"/>
      <c r="F508" s="65"/>
      <c r="G508" s="6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70"/>
      <c r="E509" s="5"/>
      <c r="F509" s="65"/>
      <c r="G509" s="6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70"/>
      <c r="E510" s="5"/>
      <c r="F510" s="65"/>
      <c r="G510" s="6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70"/>
      <c r="E511" s="5"/>
      <c r="F511" s="65"/>
      <c r="G511" s="6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70"/>
      <c r="E512" s="5"/>
      <c r="F512" s="65"/>
      <c r="G512" s="6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70"/>
      <c r="E513" s="5"/>
      <c r="F513" s="65"/>
      <c r="G513" s="6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70"/>
      <c r="E514" s="5"/>
      <c r="F514" s="65"/>
      <c r="G514" s="6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70"/>
      <c r="E515" s="5"/>
      <c r="F515" s="65"/>
      <c r="G515" s="6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70"/>
      <c r="E516" s="5"/>
      <c r="F516" s="65"/>
      <c r="G516" s="6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70"/>
      <c r="E517" s="5"/>
      <c r="F517" s="65"/>
      <c r="G517" s="6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70"/>
      <c r="E518" s="5"/>
      <c r="F518" s="65"/>
      <c r="G518" s="6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70"/>
      <c r="E519" s="5"/>
      <c r="F519" s="65"/>
      <c r="G519" s="6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70"/>
      <c r="E520" s="5"/>
      <c r="F520" s="65"/>
      <c r="G520" s="6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70"/>
      <c r="E521" s="5"/>
      <c r="F521" s="65"/>
      <c r="G521" s="6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70"/>
      <c r="E522" s="5"/>
      <c r="F522" s="65"/>
      <c r="G522" s="6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70"/>
      <c r="E523" s="5"/>
      <c r="F523" s="65"/>
      <c r="G523" s="6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70"/>
      <c r="E524" s="5"/>
      <c r="F524" s="65"/>
      <c r="G524" s="6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70"/>
      <c r="E525" s="5"/>
      <c r="F525" s="65"/>
      <c r="G525" s="6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70"/>
      <c r="E526" s="5"/>
      <c r="F526" s="65"/>
      <c r="G526" s="6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70"/>
      <c r="E527" s="5"/>
      <c r="F527" s="65"/>
      <c r="G527" s="6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70"/>
      <c r="E528" s="5"/>
      <c r="F528" s="65"/>
      <c r="G528" s="6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70"/>
      <c r="E529" s="5"/>
      <c r="F529" s="65"/>
      <c r="G529" s="6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70"/>
      <c r="E530" s="5"/>
      <c r="F530" s="65"/>
      <c r="G530" s="6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70"/>
      <c r="E531" s="5"/>
      <c r="F531" s="65"/>
      <c r="G531" s="6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70"/>
      <c r="E532" s="5"/>
      <c r="F532" s="65"/>
      <c r="G532" s="6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70"/>
      <c r="E533" s="5"/>
      <c r="F533" s="65"/>
      <c r="G533" s="6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70"/>
      <c r="E534" s="5"/>
      <c r="F534" s="65"/>
      <c r="G534" s="6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70"/>
      <c r="E535" s="5"/>
      <c r="F535" s="65"/>
      <c r="G535" s="6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70"/>
      <c r="E536" s="5"/>
      <c r="F536" s="65"/>
      <c r="G536" s="6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70"/>
      <c r="E537" s="5"/>
      <c r="F537" s="65"/>
      <c r="G537" s="6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70"/>
      <c r="E538" s="5"/>
      <c r="F538" s="65"/>
      <c r="G538" s="6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70"/>
      <c r="E539" s="5"/>
      <c r="F539" s="65"/>
      <c r="G539" s="6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70"/>
      <c r="E540" s="5"/>
      <c r="F540" s="65"/>
      <c r="G540" s="6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70"/>
      <c r="E541" s="5"/>
      <c r="F541" s="65"/>
      <c r="G541" s="6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70"/>
      <c r="E542" s="5"/>
      <c r="F542" s="65"/>
      <c r="G542" s="6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70"/>
      <c r="E543" s="5"/>
      <c r="F543" s="65"/>
      <c r="G543" s="6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70"/>
      <c r="E544" s="5"/>
      <c r="F544" s="65"/>
      <c r="G544" s="6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70"/>
      <c r="E545" s="5"/>
      <c r="F545" s="65"/>
      <c r="G545" s="6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70"/>
      <c r="E546" s="5"/>
      <c r="F546" s="65"/>
      <c r="G546" s="6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70"/>
      <c r="E547" s="5"/>
      <c r="F547" s="65"/>
      <c r="G547" s="6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70"/>
      <c r="E548" s="5"/>
      <c r="F548" s="65"/>
      <c r="G548" s="6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70"/>
      <c r="E549" s="5"/>
      <c r="F549" s="65"/>
      <c r="G549" s="6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70"/>
      <c r="E550" s="5"/>
      <c r="F550" s="65"/>
      <c r="G550" s="6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70"/>
      <c r="E551" s="5"/>
      <c r="F551" s="65"/>
      <c r="G551" s="6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70"/>
      <c r="E552" s="5"/>
      <c r="F552" s="65"/>
      <c r="G552" s="6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70"/>
      <c r="E553" s="5"/>
      <c r="F553" s="65"/>
      <c r="G553" s="6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70"/>
      <c r="E554" s="5"/>
      <c r="F554" s="65"/>
      <c r="G554" s="6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70"/>
      <c r="E555" s="5"/>
      <c r="F555" s="65"/>
      <c r="G555" s="6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70"/>
      <c r="E556" s="5"/>
      <c r="F556" s="65"/>
      <c r="G556" s="6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70"/>
      <c r="E557" s="5"/>
      <c r="F557" s="65"/>
      <c r="G557" s="6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70"/>
      <c r="E558" s="5"/>
      <c r="F558" s="65"/>
      <c r="G558" s="6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70"/>
      <c r="E559" s="5"/>
      <c r="F559" s="65"/>
      <c r="G559" s="6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70"/>
      <c r="E560" s="5"/>
      <c r="F560" s="65"/>
      <c r="G560" s="6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70"/>
      <c r="E561" s="5"/>
      <c r="F561" s="65"/>
      <c r="G561" s="6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70"/>
      <c r="E562" s="5"/>
      <c r="F562" s="65"/>
      <c r="G562" s="6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70"/>
      <c r="E563" s="5"/>
      <c r="F563" s="65"/>
      <c r="G563" s="6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70"/>
      <c r="E564" s="5"/>
      <c r="F564" s="65"/>
      <c r="G564" s="6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70"/>
      <c r="E565" s="5"/>
      <c r="F565" s="65"/>
      <c r="G565" s="6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70"/>
      <c r="E566" s="5"/>
      <c r="F566" s="65"/>
      <c r="G566" s="6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70"/>
      <c r="E567" s="5"/>
      <c r="F567" s="65"/>
      <c r="G567" s="6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70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70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70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70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70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70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70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70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70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70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70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70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70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70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70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70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70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70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70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70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70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70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70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70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70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7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7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70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70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70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70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70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70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70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70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7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7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70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70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70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70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70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70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70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70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70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70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70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70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70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70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70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70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70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70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70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70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70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70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70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70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70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70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70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70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70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70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70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7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7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70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70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70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70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70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70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70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70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70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70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70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7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7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70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70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70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70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70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7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7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70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7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7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70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70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70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70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70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70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70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70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70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70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70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70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70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70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70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70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70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70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70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70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70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70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7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7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70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70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70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70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70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70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70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70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70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70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70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70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70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70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70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70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70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70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70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70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70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70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70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70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70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70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70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70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70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70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70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70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70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70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70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70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70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70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70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70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7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7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70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70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70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70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70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70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70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70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70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70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70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70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70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70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70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70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70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70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70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70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70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70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70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70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70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70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70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70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70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70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70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70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70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70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70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70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70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70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70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70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70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70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70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70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70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70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70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70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70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70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70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70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70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70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70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70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70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70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70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70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70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70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70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70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70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70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70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70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70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70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70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70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7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7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70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70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70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70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70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70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70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70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70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70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70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70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70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70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70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70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70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70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70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70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70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70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70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7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7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7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70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7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7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70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70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70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70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7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7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70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70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70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70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70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70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70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70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70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70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70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70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70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70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70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70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70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70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70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70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70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70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70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70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70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70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70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70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70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70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70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70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70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70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70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70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70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70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70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70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70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70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70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70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70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70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70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70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70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70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70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70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70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70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70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70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70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70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70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70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7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7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70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70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70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7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7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70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70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70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70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70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70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70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70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70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70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70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70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70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70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70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70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70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70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70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70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70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70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70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70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70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70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70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70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70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70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70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70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70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70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70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70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70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70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70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70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70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70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70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70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70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70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70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70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70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70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70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70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70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70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70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70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70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70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70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70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70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70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70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70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70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70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70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70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70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70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70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70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70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70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70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70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70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70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70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70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70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70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70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70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70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70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70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70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70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70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70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70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70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70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70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70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70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70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31" customWidth="1"/>
    <col min="3" max="3" width="17.42578125" customWidth="1"/>
    <col min="4" max="10" width="9.140625" customWidth="1"/>
    <col min="11" max="12" width="9.140625" hidden="1" customWidth="1"/>
    <col min="13" max="26" width="9.140625" customWidth="1"/>
  </cols>
  <sheetData>
    <row r="1" spans="1:26" ht="14.25" customHeight="1">
      <c r="A1" s="5"/>
      <c r="B1" s="424" t="s">
        <v>224</v>
      </c>
      <c r="C1" s="346"/>
      <c r="D1" s="346"/>
      <c r="E1" s="346"/>
      <c r="F1" s="346"/>
      <c r="G1" s="346"/>
      <c r="H1" s="346"/>
      <c r="I1" s="346"/>
      <c r="J1" s="38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5"/>
      <c r="B2" s="390"/>
      <c r="C2" s="391"/>
      <c r="D2" s="391"/>
      <c r="E2" s="391"/>
      <c r="F2" s="391"/>
      <c r="G2" s="391"/>
      <c r="H2" s="391"/>
      <c r="I2" s="391"/>
      <c r="J2" s="392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>
      <c r="A3" s="5"/>
      <c r="B3" s="252" t="s">
        <v>10</v>
      </c>
      <c r="C3" s="252" t="s">
        <v>57</v>
      </c>
      <c r="D3" s="252" t="s">
        <v>106</v>
      </c>
      <c r="E3" s="252" t="s">
        <v>225</v>
      </c>
      <c r="F3" s="252" t="s">
        <v>226</v>
      </c>
      <c r="G3" s="252" t="s">
        <v>227</v>
      </c>
      <c r="H3" s="252" t="s">
        <v>137</v>
      </c>
      <c r="I3" s="252" t="s">
        <v>138</v>
      </c>
      <c r="J3" s="252" t="s">
        <v>139</v>
      </c>
      <c r="K3" s="253" t="s">
        <v>228</v>
      </c>
      <c r="L3" s="253" t="s">
        <v>229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5"/>
      <c r="B4" s="82">
        <f>DailyAccomplishmentReport!S12</f>
        <v>0</v>
      </c>
      <c r="C4" s="83">
        <f>DailyAccomplishmentReport!T12</f>
        <v>0</v>
      </c>
      <c r="D4" s="42" t="str">
        <f>DailyAccomplishmentReport!C12</f>
        <v/>
      </c>
      <c r="E4" s="42">
        <f>DailyAccomplishmentReport!AP12</f>
        <v>0</v>
      </c>
      <c r="F4" s="254" t="e">
        <f t="shared" ref="F4:F35" si="0">D4*$K$4</f>
        <v>#VALUE!</v>
      </c>
      <c r="G4" s="254">
        <f t="shared" ref="G4:G35" si="1">E4*$K$4</f>
        <v>0</v>
      </c>
      <c r="H4" s="254" t="e">
        <f t="shared" ref="H4:H93" si="2">F4+G4</f>
        <v>#VALUE!</v>
      </c>
      <c r="I4" s="254" t="e">
        <f t="shared" ref="I4:I93" si="3">H4*$L$4</f>
        <v>#VALUE!</v>
      </c>
      <c r="J4" s="255" t="e">
        <f t="shared" ref="J4:J93" si="4">H4+I4</f>
        <v>#VALUE!</v>
      </c>
      <c r="K4" s="256">
        <f>Billing!E10</f>
        <v>0</v>
      </c>
      <c r="L4" s="256">
        <v>0.12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5"/>
      <c r="B5" s="50">
        <f>DailyAccomplishmentReport!S13</f>
        <v>0</v>
      </c>
      <c r="C5" s="36">
        <f>DailyAccomplishmentReport!T13</f>
        <v>0</v>
      </c>
      <c r="D5" s="51" t="str">
        <f>DailyAccomplishmentReport!C13</f>
        <v/>
      </c>
      <c r="E5" s="51">
        <f>DailyAccomplishmentReport!AP13</f>
        <v>0</v>
      </c>
      <c r="F5" s="170" t="e">
        <f t="shared" si="0"/>
        <v>#VALUE!</v>
      </c>
      <c r="G5" s="170">
        <f t="shared" si="1"/>
        <v>0</v>
      </c>
      <c r="H5" s="170" t="e">
        <f t="shared" si="2"/>
        <v>#VALUE!</v>
      </c>
      <c r="I5" s="170" t="e">
        <f t="shared" si="3"/>
        <v>#VALUE!</v>
      </c>
      <c r="J5" s="162" t="e">
        <f t="shared" si="4"/>
        <v>#VALUE!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5"/>
      <c r="B6" s="50" t="str">
        <f>DailyAccomplishmentReport!S14</f>
        <v>OP - IT</v>
      </c>
      <c r="C6" s="36">
        <f>DailyAccomplishmentReport!T14</f>
        <v>0</v>
      </c>
      <c r="D6" s="51">
        <f>DailyAccomplishmentReport!C14</f>
        <v>8</v>
      </c>
      <c r="E6" s="51">
        <f>DailyAccomplishmentReport!AP14</f>
        <v>0</v>
      </c>
      <c r="F6" s="170">
        <f t="shared" si="0"/>
        <v>0</v>
      </c>
      <c r="G6" s="170">
        <f t="shared" si="1"/>
        <v>0</v>
      </c>
      <c r="H6" s="170">
        <f t="shared" si="2"/>
        <v>0</v>
      </c>
      <c r="I6" s="170">
        <f t="shared" si="3"/>
        <v>0</v>
      </c>
      <c r="J6" s="162">
        <f t="shared" si="4"/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5"/>
      <c r="B7" s="50" t="str">
        <f>DailyAccomplishmentReport!S15</f>
        <v>OP - IT</v>
      </c>
      <c r="C7" s="36">
        <f>DailyAccomplishmentReport!T15</f>
        <v>0</v>
      </c>
      <c r="D7" s="51">
        <f>DailyAccomplishmentReport!C15</f>
        <v>8</v>
      </c>
      <c r="E7" s="51">
        <f>DailyAccomplishmentReport!AP15</f>
        <v>0</v>
      </c>
      <c r="F7" s="170">
        <f t="shared" si="0"/>
        <v>0</v>
      </c>
      <c r="G7" s="170">
        <f t="shared" si="1"/>
        <v>0</v>
      </c>
      <c r="H7" s="170">
        <f t="shared" si="2"/>
        <v>0</v>
      </c>
      <c r="I7" s="170">
        <f t="shared" si="3"/>
        <v>0</v>
      </c>
      <c r="J7" s="162">
        <f t="shared" si="4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5"/>
      <c r="B8" s="50" t="str">
        <f>DailyAccomplishmentReport!S16</f>
        <v>OP - IT</v>
      </c>
      <c r="C8" s="36">
        <f>DailyAccomplishmentReport!T16</f>
        <v>0</v>
      </c>
      <c r="D8" s="51">
        <f>DailyAccomplishmentReport!C16</f>
        <v>8</v>
      </c>
      <c r="E8" s="51">
        <f>DailyAccomplishmentReport!AP16</f>
        <v>0</v>
      </c>
      <c r="F8" s="170">
        <f t="shared" si="0"/>
        <v>0</v>
      </c>
      <c r="G8" s="170">
        <f t="shared" si="1"/>
        <v>0</v>
      </c>
      <c r="H8" s="170">
        <f t="shared" si="2"/>
        <v>0</v>
      </c>
      <c r="I8" s="170">
        <f t="shared" si="3"/>
        <v>0</v>
      </c>
      <c r="J8" s="162">
        <f t="shared" si="4"/>
        <v>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5"/>
      <c r="B9" s="50" t="str">
        <f>DailyAccomplishmentReport!S17</f>
        <v>OP - IT</v>
      </c>
      <c r="C9" s="36">
        <f>DailyAccomplishmentReport!T17</f>
        <v>0</v>
      </c>
      <c r="D9" s="51">
        <f>DailyAccomplishmentReport!C17</f>
        <v>8</v>
      </c>
      <c r="E9" s="51">
        <f>DailyAccomplishmentReport!AP17</f>
        <v>0</v>
      </c>
      <c r="F9" s="170">
        <f t="shared" si="0"/>
        <v>0</v>
      </c>
      <c r="G9" s="170">
        <f t="shared" si="1"/>
        <v>0</v>
      </c>
      <c r="H9" s="170">
        <f t="shared" si="2"/>
        <v>0</v>
      </c>
      <c r="I9" s="170">
        <f t="shared" si="3"/>
        <v>0</v>
      </c>
      <c r="J9" s="162">
        <f t="shared" si="4"/>
        <v>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5"/>
      <c r="B10" s="50" t="str">
        <f>DailyAccomplishmentReport!S18</f>
        <v>OP - IT</v>
      </c>
      <c r="C10" s="36">
        <f>DailyAccomplishmentReport!T18</f>
        <v>0</v>
      </c>
      <c r="D10" s="51">
        <f>DailyAccomplishmentReport!C18</f>
        <v>8</v>
      </c>
      <c r="E10" s="51">
        <f>DailyAccomplishmentReport!AP18</f>
        <v>0</v>
      </c>
      <c r="F10" s="170">
        <f t="shared" si="0"/>
        <v>0</v>
      </c>
      <c r="G10" s="170">
        <f t="shared" si="1"/>
        <v>0</v>
      </c>
      <c r="H10" s="170">
        <f t="shared" si="2"/>
        <v>0</v>
      </c>
      <c r="I10" s="170">
        <f t="shared" si="3"/>
        <v>0</v>
      </c>
      <c r="J10" s="162">
        <f t="shared" si="4"/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5"/>
      <c r="B11" s="50">
        <f>DailyAccomplishmentReport!S19</f>
        <v>0</v>
      </c>
      <c r="C11" s="36">
        <f>DailyAccomplishmentReport!T19</f>
        <v>0</v>
      </c>
      <c r="D11" s="51" t="str">
        <f>DailyAccomplishmentReport!C19</f>
        <v/>
      </c>
      <c r="E11" s="51">
        <f>DailyAccomplishmentReport!AP19</f>
        <v>0</v>
      </c>
      <c r="F11" s="170" t="e">
        <f t="shared" si="0"/>
        <v>#VALUE!</v>
      </c>
      <c r="G11" s="170">
        <f t="shared" si="1"/>
        <v>0</v>
      </c>
      <c r="H11" s="170" t="e">
        <f t="shared" si="2"/>
        <v>#VALUE!</v>
      </c>
      <c r="I11" s="170" t="e">
        <f t="shared" si="3"/>
        <v>#VALUE!</v>
      </c>
      <c r="J11" s="162" t="e">
        <f t="shared" si="4"/>
        <v>#VALUE!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5"/>
      <c r="B12" s="50">
        <f>DailyAccomplishmentReport!S20</f>
        <v>0</v>
      </c>
      <c r="C12" s="36">
        <f>DailyAccomplishmentReport!T20</f>
        <v>0</v>
      </c>
      <c r="D12" s="51" t="str">
        <f>DailyAccomplishmentReport!C20</f>
        <v/>
      </c>
      <c r="E12" s="51">
        <f>DailyAccomplishmentReport!AP20</f>
        <v>0</v>
      </c>
      <c r="F12" s="170" t="e">
        <f t="shared" si="0"/>
        <v>#VALUE!</v>
      </c>
      <c r="G12" s="170">
        <f t="shared" si="1"/>
        <v>0</v>
      </c>
      <c r="H12" s="170" t="e">
        <f t="shared" si="2"/>
        <v>#VALUE!</v>
      </c>
      <c r="I12" s="170" t="e">
        <f t="shared" si="3"/>
        <v>#VALUE!</v>
      </c>
      <c r="J12" s="162" t="e">
        <f t="shared" si="4"/>
        <v>#VALUE!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5"/>
      <c r="B13" s="50">
        <f>DailyAccomplishmentReport!S21</f>
        <v>0</v>
      </c>
      <c r="C13" s="36">
        <f>DailyAccomplishmentReport!T21</f>
        <v>0</v>
      </c>
      <c r="D13" s="51" t="str">
        <f>DailyAccomplishmentReport!C21</f>
        <v/>
      </c>
      <c r="E13" s="51">
        <f>DailyAccomplishmentReport!AP21</f>
        <v>0</v>
      </c>
      <c r="F13" s="170" t="e">
        <f t="shared" si="0"/>
        <v>#VALUE!</v>
      </c>
      <c r="G13" s="170">
        <f t="shared" si="1"/>
        <v>0</v>
      </c>
      <c r="H13" s="170" t="e">
        <f t="shared" si="2"/>
        <v>#VALUE!</v>
      </c>
      <c r="I13" s="170" t="e">
        <f t="shared" si="3"/>
        <v>#VALUE!</v>
      </c>
      <c r="J13" s="162" t="e">
        <f t="shared" si="4"/>
        <v>#VALUE!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5"/>
      <c r="B14" s="50" t="str">
        <f>DailyAccomplishmentReport!S22</f>
        <v>OP - IT</v>
      </c>
      <c r="C14" s="36">
        <f>DailyAccomplishmentReport!T22</f>
        <v>0</v>
      </c>
      <c r="D14" s="51">
        <f>DailyAccomplishmentReport!C22</f>
        <v>8</v>
      </c>
      <c r="E14" s="51">
        <f>DailyAccomplishmentReport!AP22</f>
        <v>0</v>
      </c>
      <c r="F14" s="170">
        <f t="shared" si="0"/>
        <v>0</v>
      </c>
      <c r="G14" s="170">
        <f t="shared" si="1"/>
        <v>0</v>
      </c>
      <c r="H14" s="170">
        <f t="shared" si="2"/>
        <v>0</v>
      </c>
      <c r="I14" s="170">
        <f t="shared" si="3"/>
        <v>0</v>
      </c>
      <c r="J14" s="162">
        <f t="shared" si="4"/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5"/>
      <c r="B15" s="50" t="str">
        <f>DailyAccomplishmentReport!S23</f>
        <v>OP - IT</v>
      </c>
      <c r="C15" s="36">
        <f>DailyAccomplishmentReport!T23</f>
        <v>0</v>
      </c>
      <c r="D15" s="51">
        <f>DailyAccomplishmentReport!C23</f>
        <v>5.83</v>
      </c>
      <c r="E15" s="51">
        <f>DailyAccomplishmentReport!AP23</f>
        <v>0</v>
      </c>
      <c r="F15" s="170">
        <f t="shared" si="0"/>
        <v>0</v>
      </c>
      <c r="G15" s="170">
        <f t="shared" si="1"/>
        <v>0</v>
      </c>
      <c r="H15" s="170">
        <f t="shared" si="2"/>
        <v>0</v>
      </c>
      <c r="I15" s="170">
        <f t="shared" si="3"/>
        <v>0</v>
      </c>
      <c r="J15" s="162">
        <f t="shared" si="4"/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5"/>
      <c r="B16" s="50" t="str">
        <f>DailyAccomplishmentReport!S24</f>
        <v>OP - IT</v>
      </c>
      <c r="C16" s="36">
        <f>DailyAccomplishmentReport!T24</f>
        <v>0</v>
      </c>
      <c r="D16" s="51">
        <f>DailyAccomplishmentReport!C24</f>
        <v>8</v>
      </c>
      <c r="E16" s="51">
        <f>DailyAccomplishmentReport!AP24</f>
        <v>0</v>
      </c>
      <c r="F16" s="170">
        <f t="shared" si="0"/>
        <v>0</v>
      </c>
      <c r="G16" s="170">
        <f t="shared" si="1"/>
        <v>0</v>
      </c>
      <c r="H16" s="170">
        <f t="shared" si="2"/>
        <v>0</v>
      </c>
      <c r="I16" s="170">
        <f t="shared" si="3"/>
        <v>0</v>
      </c>
      <c r="J16" s="162">
        <f t="shared" si="4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5"/>
      <c r="B17" s="50" t="str">
        <f>DailyAccomplishmentReport!S25</f>
        <v>OP - IT</v>
      </c>
      <c r="C17" s="36">
        <f>DailyAccomplishmentReport!T25</f>
        <v>0</v>
      </c>
      <c r="D17" s="51">
        <f>DailyAccomplishmentReport!C25</f>
        <v>8</v>
      </c>
      <c r="E17" s="51">
        <f>DailyAccomplishmentReport!AP25</f>
        <v>0</v>
      </c>
      <c r="F17" s="170">
        <f t="shared" si="0"/>
        <v>0</v>
      </c>
      <c r="G17" s="170">
        <f t="shared" si="1"/>
        <v>0</v>
      </c>
      <c r="H17" s="170">
        <f t="shared" si="2"/>
        <v>0</v>
      </c>
      <c r="I17" s="170">
        <f t="shared" si="3"/>
        <v>0</v>
      </c>
      <c r="J17" s="162">
        <f t="shared" si="4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5"/>
      <c r="B18" s="50">
        <f>DailyAccomplishmentReport!S27</f>
        <v>0</v>
      </c>
      <c r="C18" s="36">
        <f>DailyAccomplishmentReport!T26</f>
        <v>0</v>
      </c>
      <c r="D18" s="51" t="str">
        <f>DailyAccomplishmentReport!C26</f>
        <v/>
      </c>
      <c r="E18" s="51">
        <f>DailyAccomplishmentReport!AP26</f>
        <v>0</v>
      </c>
      <c r="F18" s="170" t="e">
        <f t="shared" si="0"/>
        <v>#VALUE!</v>
      </c>
      <c r="G18" s="170">
        <f t="shared" si="1"/>
        <v>0</v>
      </c>
      <c r="H18" s="170" t="e">
        <f t="shared" si="2"/>
        <v>#VALUE!</v>
      </c>
      <c r="I18" s="170" t="e">
        <f t="shared" si="3"/>
        <v>#VALUE!</v>
      </c>
      <c r="J18" s="162" t="e">
        <f t="shared" si="4"/>
        <v>#VALUE!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5"/>
      <c r="B19" s="50" t="e">
        <f>DailyAccomplishmentReport!#REF!</f>
        <v>#REF!</v>
      </c>
      <c r="C19" s="36" t="e">
        <f>DailyAccomplishmentReport!#REF!</f>
        <v>#REF!</v>
      </c>
      <c r="D19" s="51" t="e">
        <f>DailyAccomplishmentReport!#REF!</f>
        <v>#REF!</v>
      </c>
      <c r="E19" s="51" t="e">
        <f>DailyAccomplishmentReport!#REF!</f>
        <v>#REF!</v>
      </c>
      <c r="F19" s="170" t="e">
        <f t="shared" si="0"/>
        <v>#REF!</v>
      </c>
      <c r="G19" s="170" t="e">
        <f t="shared" si="1"/>
        <v>#REF!</v>
      </c>
      <c r="H19" s="170" t="e">
        <f t="shared" si="2"/>
        <v>#REF!</v>
      </c>
      <c r="I19" s="170" t="e">
        <f t="shared" si="3"/>
        <v>#REF!</v>
      </c>
      <c r="J19" s="162" t="e">
        <f t="shared" si="4"/>
        <v>#REF!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5"/>
      <c r="B20" s="50" t="e">
        <f>DailyAccomplishmentReport!#REF!</f>
        <v>#REF!</v>
      </c>
      <c r="C20" s="36" t="e">
        <f>DailyAccomplishmentReport!#REF!</f>
        <v>#REF!</v>
      </c>
      <c r="D20" s="51" t="e">
        <f>DailyAccomplishmentReport!#REF!</f>
        <v>#REF!</v>
      </c>
      <c r="E20" s="51" t="e">
        <f>DailyAccomplishmentReport!#REF!</f>
        <v>#REF!</v>
      </c>
      <c r="F20" s="170" t="e">
        <f t="shared" si="0"/>
        <v>#REF!</v>
      </c>
      <c r="G20" s="170" t="e">
        <f t="shared" si="1"/>
        <v>#REF!</v>
      </c>
      <c r="H20" s="170" t="e">
        <f t="shared" si="2"/>
        <v>#REF!</v>
      </c>
      <c r="I20" s="170" t="e">
        <f t="shared" si="3"/>
        <v>#REF!</v>
      </c>
      <c r="J20" s="162" t="e">
        <f t="shared" si="4"/>
        <v>#REF!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5"/>
      <c r="B21" s="50" t="e">
        <f>DailyAccomplishmentReport!#REF!</f>
        <v>#REF!</v>
      </c>
      <c r="C21" s="36" t="e">
        <f>DailyAccomplishmentReport!#REF!</f>
        <v>#REF!</v>
      </c>
      <c r="D21" s="51" t="e">
        <f>DailyAccomplishmentReport!#REF!</f>
        <v>#REF!</v>
      </c>
      <c r="E21" s="51" t="e">
        <f>DailyAccomplishmentReport!#REF!</f>
        <v>#REF!</v>
      </c>
      <c r="F21" s="170" t="e">
        <f t="shared" si="0"/>
        <v>#REF!</v>
      </c>
      <c r="G21" s="170" t="e">
        <f t="shared" si="1"/>
        <v>#REF!</v>
      </c>
      <c r="H21" s="170" t="e">
        <f t="shared" si="2"/>
        <v>#REF!</v>
      </c>
      <c r="I21" s="170" t="e">
        <f t="shared" si="3"/>
        <v>#REF!</v>
      </c>
      <c r="J21" s="162" t="e">
        <f t="shared" si="4"/>
        <v>#REF!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5"/>
      <c r="B22" s="50" t="e">
        <f>DailyAccomplishmentReport!#REF!</f>
        <v>#REF!</v>
      </c>
      <c r="C22" s="36" t="e">
        <f>DailyAccomplishmentReport!#REF!</f>
        <v>#REF!</v>
      </c>
      <c r="D22" s="51" t="e">
        <f>DailyAccomplishmentReport!#REF!</f>
        <v>#REF!</v>
      </c>
      <c r="E22" s="51" t="e">
        <f>DailyAccomplishmentReport!#REF!</f>
        <v>#REF!</v>
      </c>
      <c r="F22" s="170" t="e">
        <f t="shared" si="0"/>
        <v>#REF!</v>
      </c>
      <c r="G22" s="170" t="e">
        <f t="shared" si="1"/>
        <v>#REF!</v>
      </c>
      <c r="H22" s="170" t="e">
        <f t="shared" si="2"/>
        <v>#REF!</v>
      </c>
      <c r="I22" s="170" t="e">
        <f t="shared" si="3"/>
        <v>#REF!</v>
      </c>
      <c r="J22" s="162" t="e">
        <f t="shared" si="4"/>
        <v>#REF!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5"/>
      <c r="B23" s="50" t="e">
        <f>DailyAccomplishmentReport!#REF!</f>
        <v>#REF!</v>
      </c>
      <c r="C23" s="36" t="e">
        <f>DailyAccomplishmentReport!#REF!</f>
        <v>#REF!</v>
      </c>
      <c r="D23" s="51" t="e">
        <f>DailyAccomplishmentReport!#REF!</f>
        <v>#REF!</v>
      </c>
      <c r="E23" s="51" t="e">
        <f>DailyAccomplishmentReport!#REF!</f>
        <v>#REF!</v>
      </c>
      <c r="F23" s="170" t="e">
        <f t="shared" si="0"/>
        <v>#REF!</v>
      </c>
      <c r="G23" s="170" t="e">
        <f t="shared" si="1"/>
        <v>#REF!</v>
      </c>
      <c r="H23" s="170" t="e">
        <f t="shared" si="2"/>
        <v>#REF!</v>
      </c>
      <c r="I23" s="170" t="e">
        <f t="shared" si="3"/>
        <v>#REF!</v>
      </c>
      <c r="J23" s="162" t="e">
        <f t="shared" si="4"/>
        <v>#REF!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5"/>
      <c r="B24" s="50" t="e">
        <f>DailyAccomplishmentReport!#REF!</f>
        <v>#REF!</v>
      </c>
      <c r="C24" s="36" t="e">
        <f>DailyAccomplishmentReport!#REF!</f>
        <v>#REF!</v>
      </c>
      <c r="D24" s="51" t="e">
        <f>DailyAccomplishmentReport!#REF!</f>
        <v>#REF!</v>
      </c>
      <c r="E24" s="51" t="e">
        <f>DailyAccomplishmentReport!#REF!</f>
        <v>#REF!</v>
      </c>
      <c r="F24" s="170" t="e">
        <f t="shared" si="0"/>
        <v>#REF!</v>
      </c>
      <c r="G24" s="170" t="e">
        <f t="shared" si="1"/>
        <v>#REF!</v>
      </c>
      <c r="H24" s="170" t="e">
        <f t="shared" si="2"/>
        <v>#REF!</v>
      </c>
      <c r="I24" s="170" t="e">
        <f t="shared" si="3"/>
        <v>#REF!</v>
      </c>
      <c r="J24" s="162" t="e">
        <f t="shared" si="4"/>
        <v>#REF!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5"/>
      <c r="B25" s="50" t="e">
        <f>DailyAccomplishmentReport!#REF!</f>
        <v>#REF!</v>
      </c>
      <c r="C25" s="36" t="e">
        <f>DailyAccomplishmentReport!#REF!</f>
        <v>#REF!</v>
      </c>
      <c r="D25" s="51" t="e">
        <f>DailyAccomplishmentReport!#REF!</f>
        <v>#REF!</v>
      </c>
      <c r="E25" s="51" t="e">
        <f>DailyAccomplishmentReport!#REF!</f>
        <v>#REF!</v>
      </c>
      <c r="F25" s="170" t="e">
        <f t="shared" si="0"/>
        <v>#REF!</v>
      </c>
      <c r="G25" s="170" t="e">
        <f t="shared" si="1"/>
        <v>#REF!</v>
      </c>
      <c r="H25" s="170" t="e">
        <f t="shared" si="2"/>
        <v>#REF!</v>
      </c>
      <c r="I25" s="170" t="e">
        <f t="shared" si="3"/>
        <v>#REF!</v>
      </c>
      <c r="J25" s="162" t="e">
        <f t="shared" si="4"/>
        <v>#REF!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5"/>
      <c r="B26" s="50" t="e">
        <f>DailyAccomplishmentReport!#REF!</f>
        <v>#REF!</v>
      </c>
      <c r="C26" s="36" t="e">
        <f>DailyAccomplishmentReport!#REF!</f>
        <v>#REF!</v>
      </c>
      <c r="D26" s="51" t="e">
        <f>DailyAccomplishmentReport!#REF!</f>
        <v>#REF!</v>
      </c>
      <c r="E26" s="51" t="e">
        <f>DailyAccomplishmentReport!#REF!</f>
        <v>#REF!</v>
      </c>
      <c r="F26" s="170" t="e">
        <f t="shared" si="0"/>
        <v>#REF!</v>
      </c>
      <c r="G26" s="170" t="e">
        <f t="shared" si="1"/>
        <v>#REF!</v>
      </c>
      <c r="H26" s="170" t="e">
        <f t="shared" si="2"/>
        <v>#REF!</v>
      </c>
      <c r="I26" s="170" t="e">
        <f t="shared" si="3"/>
        <v>#REF!</v>
      </c>
      <c r="J26" s="162" t="e">
        <f t="shared" si="4"/>
        <v>#REF!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5"/>
      <c r="B27" s="50" t="e">
        <f>DailyAccomplishmentReport!#REF!</f>
        <v>#REF!</v>
      </c>
      <c r="C27" s="36" t="e">
        <f>DailyAccomplishmentReport!#REF!</f>
        <v>#REF!</v>
      </c>
      <c r="D27" s="51" t="e">
        <f>DailyAccomplishmentReport!#REF!</f>
        <v>#REF!</v>
      </c>
      <c r="E27" s="51" t="e">
        <f>DailyAccomplishmentReport!#REF!</f>
        <v>#REF!</v>
      </c>
      <c r="F27" s="170" t="e">
        <f t="shared" si="0"/>
        <v>#REF!</v>
      </c>
      <c r="G27" s="170" t="e">
        <f t="shared" si="1"/>
        <v>#REF!</v>
      </c>
      <c r="H27" s="170" t="e">
        <f t="shared" si="2"/>
        <v>#REF!</v>
      </c>
      <c r="I27" s="170" t="e">
        <f t="shared" si="3"/>
        <v>#REF!</v>
      </c>
      <c r="J27" s="162" t="e">
        <f t="shared" si="4"/>
        <v>#REF!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5"/>
      <c r="B28" s="50" t="e">
        <f>DailyAccomplishmentReport!#REF!</f>
        <v>#REF!</v>
      </c>
      <c r="C28" s="36" t="e">
        <f>DailyAccomplishmentReport!#REF!</f>
        <v>#REF!</v>
      </c>
      <c r="D28" s="51" t="e">
        <f>DailyAccomplishmentReport!#REF!</f>
        <v>#REF!</v>
      </c>
      <c r="E28" s="51" t="e">
        <f>DailyAccomplishmentReport!#REF!</f>
        <v>#REF!</v>
      </c>
      <c r="F28" s="170" t="e">
        <f t="shared" si="0"/>
        <v>#REF!</v>
      </c>
      <c r="G28" s="170" t="e">
        <f t="shared" si="1"/>
        <v>#REF!</v>
      </c>
      <c r="H28" s="170" t="e">
        <f t="shared" si="2"/>
        <v>#REF!</v>
      </c>
      <c r="I28" s="170" t="e">
        <f t="shared" si="3"/>
        <v>#REF!</v>
      </c>
      <c r="J28" s="162" t="e">
        <f t="shared" si="4"/>
        <v>#REF!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5"/>
      <c r="B29" s="50" t="e">
        <f>DailyAccomplishmentReport!#REF!</f>
        <v>#REF!</v>
      </c>
      <c r="C29" s="36" t="e">
        <f>DailyAccomplishmentReport!#REF!</f>
        <v>#REF!</v>
      </c>
      <c r="D29" s="51" t="e">
        <f>DailyAccomplishmentReport!#REF!</f>
        <v>#REF!</v>
      </c>
      <c r="E29" s="51" t="e">
        <f>DailyAccomplishmentReport!#REF!</f>
        <v>#REF!</v>
      </c>
      <c r="F29" s="170" t="e">
        <f t="shared" si="0"/>
        <v>#REF!</v>
      </c>
      <c r="G29" s="170" t="e">
        <f t="shared" si="1"/>
        <v>#REF!</v>
      </c>
      <c r="H29" s="170" t="e">
        <f t="shared" si="2"/>
        <v>#REF!</v>
      </c>
      <c r="I29" s="170" t="e">
        <f t="shared" si="3"/>
        <v>#REF!</v>
      </c>
      <c r="J29" s="162" t="e">
        <f t="shared" si="4"/>
        <v>#REF!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0" t="e">
        <f>DailyAccomplishmentReport!#REF!</f>
        <v>#REF!</v>
      </c>
      <c r="C30" s="36" t="e">
        <f>DailyAccomplishmentReport!#REF!</f>
        <v>#REF!</v>
      </c>
      <c r="D30" s="51" t="e">
        <f>DailyAccomplishmentReport!#REF!</f>
        <v>#REF!</v>
      </c>
      <c r="E30" s="51" t="e">
        <f>DailyAccomplishmentReport!#REF!</f>
        <v>#REF!</v>
      </c>
      <c r="F30" s="170" t="e">
        <f t="shared" si="0"/>
        <v>#REF!</v>
      </c>
      <c r="G30" s="170" t="e">
        <f t="shared" si="1"/>
        <v>#REF!</v>
      </c>
      <c r="H30" s="170" t="e">
        <f t="shared" si="2"/>
        <v>#REF!</v>
      </c>
      <c r="I30" s="170" t="e">
        <f t="shared" si="3"/>
        <v>#REF!</v>
      </c>
      <c r="J30" s="162" t="e">
        <f t="shared" si="4"/>
        <v>#REF!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0" t="e">
        <f>DailyAccomplishmentReport!#REF!</f>
        <v>#REF!</v>
      </c>
      <c r="C31" s="36" t="e">
        <f>DailyAccomplishmentReport!#REF!</f>
        <v>#REF!</v>
      </c>
      <c r="D31" s="51" t="e">
        <f>#REF!</f>
        <v>#REF!</v>
      </c>
      <c r="E31" s="51" t="e">
        <f>DailyAccomplishmentReport!#REF!</f>
        <v>#REF!</v>
      </c>
      <c r="F31" s="170" t="e">
        <f t="shared" si="0"/>
        <v>#REF!</v>
      </c>
      <c r="G31" s="170" t="e">
        <f t="shared" si="1"/>
        <v>#REF!</v>
      </c>
      <c r="H31" s="170" t="e">
        <f t="shared" si="2"/>
        <v>#REF!</v>
      </c>
      <c r="I31" s="170" t="e">
        <f t="shared" si="3"/>
        <v>#REF!</v>
      </c>
      <c r="J31" s="162" t="e">
        <f t="shared" si="4"/>
        <v>#REF!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0" t="e">
        <f>DailyAccomplishmentReport!#REF!</f>
        <v>#REF!</v>
      </c>
      <c r="C32" s="36" t="e">
        <f>DailyAccomplishmentReport!#REF!</f>
        <v>#REF!</v>
      </c>
      <c r="D32" s="51" t="e">
        <f>DailyAccomplishmentReport!#REF!</f>
        <v>#REF!</v>
      </c>
      <c r="E32" s="51" t="e">
        <f>DailyAccomplishmentReport!#REF!</f>
        <v>#REF!</v>
      </c>
      <c r="F32" s="170" t="e">
        <f t="shared" si="0"/>
        <v>#REF!</v>
      </c>
      <c r="G32" s="170" t="e">
        <f t="shared" si="1"/>
        <v>#REF!</v>
      </c>
      <c r="H32" s="170" t="e">
        <f t="shared" si="2"/>
        <v>#REF!</v>
      </c>
      <c r="I32" s="170" t="e">
        <f t="shared" si="3"/>
        <v>#REF!</v>
      </c>
      <c r="J32" s="162" t="e">
        <f t="shared" si="4"/>
        <v>#REF!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0" t="e">
        <f>DailyAccomplishmentReport!#REF!</f>
        <v>#REF!</v>
      </c>
      <c r="C33" s="36" t="e">
        <f>DailyAccomplishmentReport!#REF!</f>
        <v>#REF!</v>
      </c>
      <c r="D33" s="51" t="e">
        <f>DailyAccomplishmentReport!#REF!</f>
        <v>#REF!</v>
      </c>
      <c r="E33" s="51" t="e">
        <f>DailyAccomplishmentReport!#REF!</f>
        <v>#REF!</v>
      </c>
      <c r="F33" s="170" t="e">
        <f t="shared" si="0"/>
        <v>#REF!</v>
      </c>
      <c r="G33" s="170" t="e">
        <f t="shared" si="1"/>
        <v>#REF!</v>
      </c>
      <c r="H33" s="170" t="e">
        <f t="shared" si="2"/>
        <v>#REF!</v>
      </c>
      <c r="I33" s="170" t="e">
        <f t="shared" si="3"/>
        <v>#REF!</v>
      </c>
      <c r="J33" s="162" t="e">
        <f t="shared" si="4"/>
        <v>#REF!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0" t="e">
        <f>DailyAccomplishmentReport!#REF!</f>
        <v>#REF!</v>
      </c>
      <c r="C34" s="36" t="e">
        <f>DailyAccomplishmentReport!#REF!</f>
        <v>#REF!</v>
      </c>
      <c r="D34" s="51" t="e">
        <f>DailyAccomplishmentReport!#REF!</f>
        <v>#REF!</v>
      </c>
      <c r="E34" s="51" t="e">
        <f>DailyAccomplishmentReport!#REF!</f>
        <v>#REF!</v>
      </c>
      <c r="F34" s="170" t="e">
        <f t="shared" si="0"/>
        <v>#REF!</v>
      </c>
      <c r="G34" s="170" t="e">
        <f t="shared" si="1"/>
        <v>#REF!</v>
      </c>
      <c r="H34" s="170" t="e">
        <f t="shared" si="2"/>
        <v>#REF!</v>
      </c>
      <c r="I34" s="170" t="e">
        <f t="shared" si="3"/>
        <v>#REF!</v>
      </c>
      <c r="J34" s="162" t="e">
        <f t="shared" si="4"/>
        <v>#REF!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0" t="e">
        <f>DailyAccomplishmentReport!#REF!</f>
        <v>#REF!</v>
      </c>
      <c r="C35" s="36" t="e">
        <f>DailyAccomplishmentReport!#REF!</f>
        <v>#REF!</v>
      </c>
      <c r="D35" s="51" t="e">
        <f>DailyAccomplishmentReport!#REF!</f>
        <v>#REF!</v>
      </c>
      <c r="E35" s="51" t="e">
        <f>DailyAccomplishmentReport!#REF!</f>
        <v>#REF!</v>
      </c>
      <c r="F35" s="170" t="e">
        <f t="shared" si="0"/>
        <v>#REF!</v>
      </c>
      <c r="G35" s="170" t="e">
        <f t="shared" si="1"/>
        <v>#REF!</v>
      </c>
      <c r="H35" s="170" t="e">
        <f t="shared" si="2"/>
        <v>#REF!</v>
      </c>
      <c r="I35" s="170" t="e">
        <f t="shared" si="3"/>
        <v>#REF!</v>
      </c>
      <c r="J35" s="162" t="e">
        <f t="shared" si="4"/>
        <v>#REF!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0" t="e">
        <f>DailyAccomplishmentReport!#REF!</f>
        <v>#REF!</v>
      </c>
      <c r="C36" s="36" t="e">
        <f>DailyAccomplishmentReport!#REF!</f>
        <v>#REF!</v>
      </c>
      <c r="D36" s="51" t="e">
        <f>DailyAccomplishmentReport!#REF!</f>
        <v>#REF!</v>
      </c>
      <c r="E36" s="51" t="e">
        <f>DailyAccomplishmentReport!#REF!</f>
        <v>#REF!</v>
      </c>
      <c r="F36" s="170" t="e">
        <f t="shared" ref="F36:F67" si="5">D36*$K$4</f>
        <v>#REF!</v>
      </c>
      <c r="G36" s="170" t="e">
        <f t="shared" ref="G36:G67" si="6">E36*$K$4</f>
        <v>#REF!</v>
      </c>
      <c r="H36" s="170" t="e">
        <f t="shared" si="2"/>
        <v>#REF!</v>
      </c>
      <c r="I36" s="170" t="e">
        <f t="shared" si="3"/>
        <v>#REF!</v>
      </c>
      <c r="J36" s="162" t="e">
        <f t="shared" si="4"/>
        <v>#REF!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0" t="e">
        <f>DailyAccomplishmentReport!#REF!</f>
        <v>#REF!</v>
      </c>
      <c r="C37" s="36" t="e">
        <f>DailyAccomplishmentReport!#REF!</f>
        <v>#REF!</v>
      </c>
      <c r="D37" s="51" t="e">
        <f>DailyAccomplishmentReport!#REF!</f>
        <v>#REF!</v>
      </c>
      <c r="E37" s="51" t="e">
        <f>DailyAccomplishmentReport!#REF!</f>
        <v>#REF!</v>
      </c>
      <c r="F37" s="170" t="e">
        <f t="shared" si="5"/>
        <v>#REF!</v>
      </c>
      <c r="G37" s="170" t="e">
        <f t="shared" si="6"/>
        <v>#REF!</v>
      </c>
      <c r="H37" s="170" t="e">
        <f t="shared" si="2"/>
        <v>#REF!</v>
      </c>
      <c r="I37" s="170" t="e">
        <f t="shared" si="3"/>
        <v>#REF!</v>
      </c>
      <c r="J37" s="162" t="e">
        <f t="shared" si="4"/>
        <v>#REF!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0" t="e">
        <f>DailyAccomplishmentReport!#REF!</f>
        <v>#REF!</v>
      </c>
      <c r="C38" s="36" t="e">
        <f>DailyAccomplishmentReport!#REF!</f>
        <v>#REF!</v>
      </c>
      <c r="D38" s="51" t="e">
        <f>DailyAccomplishmentReport!#REF!</f>
        <v>#REF!</v>
      </c>
      <c r="E38" s="51" t="e">
        <f>DailyAccomplishmentReport!#REF!</f>
        <v>#REF!</v>
      </c>
      <c r="F38" s="170" t="e">
        <f t="shared" si="5"/>
        <v>#REF!</v>
      </c>
      <c r="G38" s="170" t="e">
        <f t="shared" si="6"/>
        <v>#REF!</v>
      </c>
      <c r="H38" s="170" t="e">
        <f t="shared" si="2"/>
        <v>#REF!</v>
      </c>
      <c r="I38" s="170" t="e">
        <f t="shared" si="3"/>
        <v>#REF!</v>
      </c>
      <c r="J38" s="162" t="e">
        <f t="shared" si="4"/>
        <v>#REF!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0" t="e">
        <f>DailyAccomplishmentReport!#REF!</f>
        <v>#REF!</v>
      </c>
      <c r="C39" s="36" t="e">
        <f>DailyAccomplishmentReport!#REF!</f>
        <v>#REF!</v>
      </c>
      <c r="D39" s="51" t="e">
        <f>DailyAccomplishmentReport!#REF!</f>
        <v>#REF!</v>
      </c>
      <c r="E39" s="51" t="e">
        <f>DailyAccomplishmentReport!#REF!</f>
        <v>#REF!</v>
      </c>
      <c r="F39" s="170" t="e">
        <f t="shared" si="5"/>
        <v>#REF!</v>
      </c>
      <c r="G39" s="170" t="e">
        <f t="shared" si="6"/>
        <v>#REF!</v>
      </c>
      <c r="H39" s="170" t="e">
        <f t="shared" si="2"/>
        <v>#REF!</v>
      </c>
      <c r="I39" s="170" t="e">
        <f t="shared" si="3"/>
        <v>#REF!</v>
      </c>
      <c r="J39" s="162" t="e">
        <f t="shared" si="4"/>
        <v>#REF!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0" t="e">
        <f>DailyAccomplishmentReport!#REF!</f>
        <v>#REF!</v>
      </c>
      <c r="C40" s="36" t="e">
        <f>DailyAccomplishmentReport!#REF!</f>
        <v>#REF!</v>
      </c>
      <c r="D40" s="51" t="e">
        <f>DailyAccomplishmentReport!#REF!</f>
        <v>#REF!</v>
      </c>
      <c r="E40" s="51" t="e">
        <f>DailyAccomplishmentReport!#REF!</f>
        <v>#REF!</v>
      </c>
      <c r="F40" s="170" t="e">
        <f t="shared" si="5"/>
        <v>#REF!</v>
      </c>
      <c r="G40" s="170" t="e">
        <f t="shared" si="6"/>
        <v>#REF!</v>
      </c>
      <c r="H40" s="170" t="e">
        <f t="shared" si="2"/>
        <v>#REF!</v>
      </c>
      <c r="I40" s="170" t="e">
        <f t="shared" si="3"/>
        <v>#REF!</v>
      </c>
      <c r="J40" s="162" t="e">
        <f t="shared" si="4"/>
        <v>#REF!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0" t="e">
        <f>DailyAccomplishmentReport!#REF!</f>
        <v>#REF!</v>
      </c>
      <c r="C41" s="36" t="e">
        <f>DailyAccomplishmentReport!#REF!</f>
        <v>#REF!</v>
      </c>
      <c r="D41" s="51" t="e">
        <f>DailyAccomplishmentReport!#REF!</f>
        <v>#REF!</v>
      </c>
      <c r="E41" s="51" t="e">
        <f>DailyAccomplishmentReport!#REF!</f>
        <v>#REF!</v>
      </c>
      <c r="F41" s="170" t="e">
        <f t="shared" si="5"/>
        <v>#REF!</v>
      </c>
      <c r="G41" s="170" t="e">
        <f t="shared" si="6"/>
        <v>#REF!</v>
      </c>
      <c r="H41" s="170" t="e">
        <f t="shared" si="2"/>
        <v>#REF!</v>
      </c>
      <c r="I41" s="170" t="e">
        <f t="shared" si="3"/>
        <v>#REF!</v>
      </c>
      <c r="J41" s="162" t="e">
        <f t="shared" si="4"/>
        <v>#REF!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0" t="e">
        <f>DailyAccomplishmentReport!#REF!</f>
        <v>#REF!</v>
      </c>
      <c r="C42" s="36" t="e">
        <f>DailyAccomplishmentReport!#REF!</f>
        <v>#REF!</v>
      </c>
      <c r="D42" s="51" t="e">
        <f>DailyAccomplishmentReport!#REF!</f>
        <v>#REF!</v>
      </c>
      <c r="E42" s="51" t="e">
        <f>DailyAccomplishmentReport!#REF!</f>
        <v>#REF!</v>
      </c>
      <c r="F42" s="170" t="e">
        <f t="shared" si="5"/>
        <v>#REF!</v>
      </c>
      <c r="G42" s="170" t="e">
        <f t="shared" si="6"/>
        <v>#REF!</v>
      </c>
      <c r="H42" s="170" t="e">
        <f t="shared" si="2"/>
        <v>#REF!</v>
      </c>
      <c r="I42" s="170" t="e">
        <f t="shared" si="3"/>
        <v>#REF!</v>
      </c>
      <c r="J42" s="162" t="e">
        <f t="shared" si="4"/>
        <v>#REF!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0" t="e">
        <f>DailyAccomplishmentReport!#REF!</f>
        <v>#REF!</v>
      </c>
      <c r="C43" s="36" t="e">
        <f>DailyAccomplishmentReport!#REF!</f>
        <v>#REF!</v>
      </c>
      <c r="D43" s="51" t="e">
        <f>DailyAccomplishmentReport!#REF!</f>
        <v>#REF!</v>
      </c>
      <c r="E43" s="51" t="e">
        <f>DailyAccomplishmentReport!#REF!</f>
        <v>#REF!</v>
      </c>
      <c r="F43" s="170" t="e">
        <f t="shared" si="5"/>
        <v>#REF!</v>
      </c>
      <c r="G43" s="170" t="e">
        <f t="shared" si="6"/>
        <v>#REF!</v>
      </c>
      <c r="H43" s="170" t="e">
        <f t="shared" si="2"/>
        <v>#REF!</v>
      </c>
      <c r="I43" s="170" t="e">
        <f t="shared" si="3"/>
        <v>#REF!</v>
      </c>
      <c r="J43" s="162" t="e">
        <f t="shared" si="4"/>
        <v>#REF!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0" t="e">
        <f>DailyAccomplishmentReport!#REF!</f>
        <v>#REF!</v>
      </c>
      <c r="C44" s="36" t="e">
        <f>DailyAccomplishmentReport!#REF!</f>
        <v>#REF!</v>
      </c>
      <c r="D44" s="51" t="e">
        <f>DailyAccomplishmentReport!#REF!</f>
        <v>#REF!</v>
      </c>
      <c r="E44" s="51" t="e">
        <f>DailyAccomplishmentReport!#REF!</f>
        <v>#REF!</v>
      </c>
      <c r="F44" s="170" t="e">
        <f t="shared" si="5"/>
        <v>#REF!</v>
      </c>
      <c r="G44" s="170" t="e">
        <f t="shared" si="6"/>
        <v>#REF!</v>
      </c>
      <c r="H44" s="170" t="e">
        <f t="shared" si="2"/>
        <v>#REF!</v>
      </c>
      <c r="I44" s="170" t="e">
        <f t="shared" si="3"/>
        <v>#REF!</v>
      </c>
      <c r="J44" s="162" t="e">
        <f t="shared" si="4"/>
        <v>#REF!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0" t="e">
        <f>DailyAccomplishmentReport!#REF!</f>
        <v>#REF!</v>
      </c>
      <c r="C45" s="36" t="e">
        <f>DailyAccomplishmentReport!#REF!</f>
        <v>#REF!</v>
      </c>
      <c r="D45" s="51" t="e">
        <f>DailyAccomplishmentReport!#REF!</f>
        <v>#REF!</v>
      </c>
      <c r="E45" s="51" t="e">
        <f>DailyAccomplishmentReport!#REF!</f>
        <v>#REF!</v>
      </c>
      <c r="F45" s="170" t="e">
        <f t="shared" si="5"/>
        <v>#REF!</v>
      </c>
      <c r="G45" s="170" t="e">
        <f t="shared" si="6"/>
        <v>#REF!</v>
      </c>
      <c r="H45" s="170" t="e">
        <f t="shared" si="2"/>
        <v>#REF!</v>
      </c>
      <c r="I45" s="170" t="e">
        <f t="shared" si="3"/>
        <v>#REF!</v>
      </c>
      <c r="J45" s="162" t="e">
        <f t="shared" si="4"/>
        <v>#REF!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0" t="e">
        <f>DailyAccomplishmentReport!#REF!</f>
        <v>#REF!</v>
      </c>
      <c r="C46" s="36" t="e">
        <f>DailyAccomplishmentReport!#REF!</f>
        <v>#REF!</v>
      </c>
      <c r="D46" s="51" t="e">
        <f>DailyAccomplishmentReport!#REF!</f>
        <v>#REF!</v>
      </c>
      <c r="E46" s="51" t="e">
        <f>DailyAccomplishmentReport!#REF!</f>
        <v>#REF!</v>
      </c>
      <c r="F46" s="170" t="e">
        <f t="shared" si="5"/>
        <v>#REF!</v>
      </c>
      <c r="G46" s="170" t="e">
        <f t="shared" si="6"/>
        <v>#REF!</v>
      </c>
      <c r="H46" s="170" t="e">
        <f t="shared" si="2"/>
        <v>#REF!</v>
      </c>
      <c r="I46" s="170" t="e">
        <f t="shared" si="3"/>
        <v>#REF!</v>
      </c>
      <c r="J46" s="162" t="e">
        <f t="shared" si="4"/>
        <v>#REF!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0" t="e">
        <f>DailyAccomplishmentReport!#REF!</f>
        <v>#REF!</v>
      </c>
      <c r="C47" s="36" t="e">
        <f>DailyAccomplishmentReport!#REF!</f>
        <v>#REF!</v>
      </c>
      <c r="D47" s="51" t="e">
        <f>DailyAccomplishmentReport!#REF!</f>
        <v>#REF!</v>
      </c>
      <c r="E47" s="51" t="e">
        <f>DailyAccomplishmentReport!#REF!</f>
        <v>#REF!</v>
      </c>
      <c r="F47" s="170" t="e">
        <f t="shared" si="5"/>
        <v>#REF!</v>
      </c>
      <c r="G47" s="170" t="e">
        <f t="shared" si="6"/>
        <v>#REF!</v>
      </c>
      <c r="H47" s="170" t="e">
        <f t="shared" si="2"/>
        <v>#REF!</v>
      </c>
      <c r="I47" s="170" t="e">
        <f t="shared" si="3"/>
        <v>#REF!</v>
      </c>
      <c r="J47" s="162" t="e">
        <f t="shared" si="4"/>
        <v>#REF!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0" t="e">
        <f>DailyAccomplishmentReport!#REF!</f>
        <v>#REF!</v>
      </c>
      <c r="C48" s="36" t="e">
        <f>DailyAccomplishmentReport!#REF!</f>
        <v>#REF!</v>
      </c>
      <c r="D48" s="51" t="e">
        <f>DailyAccomplishmentReport!#REF!</f>
        <v>#REF!</v>
      </c>
      <c r="E48" s="51" t="e">
        <f>DailyAccomplishmentReport!#REF!</f>
        <v>#REF!</v>
      </c>
      <c r="F48" s="170" t="e">
        <f t="shared" si="5"/>
        <v>#REF!</v>
      </c>
      <c r="G48" s="170" t="e">
        <f t="shared" si="6"/>
        <v>#REF!</v>
      </c>
      <c r="H48" s="170" t="e">
        <f t="shared" si="2"/>
        <v>#REF!</v>
      </c>
      <c r="I48" s="170" t="e">
        <f t="shared" si="3"/>
        <v>#REF!</v>
      </c>
      <c r="J48" s="162" t="e">
        <f t="shared" si="4"/>
        <v>#REF!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0" t="e">
        <f>DailyAccomplishmentReport!#REF!</f>
        <v>#REF!</v>
      </c>
      <c r="C49" s="36" t="e">
        <f>DailyAccomplishmentReport!#REF!</f>
        <v>#REF!</v>
      </c>
      <c r="D49" s="51" t="e">
        <f>DailyAccomplishmentReport!#REF!</f>
        <v>#REF!</v>
      </c>
      <c r="E49" s="51" t="e">
        <f>DailyAccomplishmentReport!#REF!</f>
        <v>#REF!</v>
      </c>
      <c r="F49" s="170" t="e">
        <f t="shared" si="5"/>
        <v>#REF!</v>
      </c>
      <c r="G49" s="170" t="e">
        <f t="shared" si="6"/>
        <v>#REF!</v>
      </c>
      <c r="H49" s="170" t="e">
        <f t="shared" si="2"/>
        <v>#REF!</v>
      </c>
      <c r="I49" s="170" t="e">
        <f t="shared" si="3"/>
        <v>#REF!</v>
      </c>
      <c r="J49" s="162" t="e">
        <f t="shared" si="4"/>
        <v>#REF!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0" t="e">
        <f>DailyAccomplishmentReport!#REF!</f>
        <v>#REF!</v>
      </c>
      <c r="C50" s="36" t="e">
        <f>DailyAccomplishmentReport!#REF!</f>
        <v>#REF!</v>
      </c>
      <c r="D50" s="51" t="e">
        <f>DailyAccomplishmentReport!#REF!</f>
        <v>#REF!</v>
      </c>
      <c r="E50" s="51" t="e">
        <f>DailyAccomplishmentReport!#REF!</f>
        <v>#REF!</v>
      </c>
      <c r="F50" s="170" t="e">
        <f t="shared" si="5"/>
        <v>#REF!</v>
      </c>
      <c r="G50" s="170" t="e">
        <f t="shared" si="6"/>
        <v>#REF!</v>
      </c>
      <c r="H50" s="170" t="e">
        <f t="shared" si="2"/>
        <v>#REF!</v>
      </c>
      <c r="I50" s="170" t="e">
        <f t="shared" si="3"/>
        <v>#REF!</v>
      </c>
      <c r="J50" s="162" t="e">
        <f t="shared" si="4"/>
        <v>#REF!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0" t="e">
        <f>DailyAccomplishmentReport!#REF!</f>
        <v>#REF!</v>
      </c>
      <c r="C51" s="36" t="e">
        <f>DailyAccomplishmentReport!#REF!</f>
        <v>#REF!</v>
      </c>
      <c r="D51" s="51" t="e">
        <f>DailyAccomplishmentReport!#REF!</f>
        <v>#REF!</v>
      </c>
      <c r="E51" s="51" t="e">
        <f>DailyAccomplishmentReport!#REF!</f>
        <v>#REF!</v>
      </c>
      <c r="F51" s="170" t="e">
        <f t="shared" si="5"/>
        <v>#REF!</v>
      </c>
      <c r="G51" s="170" t="e">
        <f t="shared" si="6"/>
        <v>#REF!</v>
      </c>
      <c r="H51" s="170" t="e">
        <f t="shared" si="2"/>
        <v>#REF!</v>
      </c>
      <c r="I51" s="170" t="e">
        <f t="shared" si="3"/>
        <v>#REF!</v>
      </c>
      <c r="J51" s="162" t="e">
        <f t="shared" si="4"/>
        <v>#REF!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0" t="e">
        <f>DailyAccomplishmentReport!#REF!</f>
        <v>#REF!</v>
      </c>
      <c r="C52" s="36" t="e">
        <f>DailyAccomplishmentReport!#REF!</f>
        <v>#REF!</v>
      </c>
      <c r="D52" s="51" t="e">
        <f>DailyAccomplishmentReport!#REF!</f>
        <v>#REF!</v>
      </c>
      <c r="E52" s="51" t="e">
        <f>DailyAccomplishmentReport!#REF!</f>
        <v>#REF!</v>
      </c>
      <c r="F52" s="170" t="e">
        <f t="shared" si="5"/>
        <v>#REF!</v>
      </c>
      <c r="G52" s="170" t="e">
        <f t="shared" si="6"/>
        <v>#REF!</v>
      </c>
      <c r="H52" s="170" t="e">
        <f t="shared" si="2"/>
        <v>#REF!</v>
      </c>
      <c r="I52" s="170" t="e">
        <f t="shared" si="3"/>
        <v>#REF!</v>
      </c>
      <c r="J52" s="162" t="e">
        <f t="shared" si="4"/>
        <v>#REF!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0" t="e">
        <f>DailyAccomplishmentReport!#REF!</f>
        <v>#REF!</v>
      </c>
      <c r="C53" s="36" t="e">
        <f>DailyAccomplishmentReport!#REF!</f>
        <v>#REF!</v>
      </c>
      <c r="D53" s="51" t="e">
        <f>DailyAccomplishmentReport!#REF!</f>
        <v>#REF!</v>
      </c>
      <c r="E53" s="51" t="e">
        <f>DailyAccomplishmentReport!#REF!</f>
        <v>#REF!</v>
      </c>
      <c r="F53" s="170" t="e">
        <f t="shared" si="5"/>
        <v>#REF!</v>
      </c>
      <c r="G53" s="170" t="e">
        <f t="shared" si="6"/>
        <v>#REF!</v>
      </c>
      <c r="H53" s="170" t="e">
        <f t="shared" si="2"/>
        <v>#REF!</v>
      </c>
      <c r="I53" s="170" t="e">
        <f t="shared" si="3"/>
        <v>#REF!</v>
      </c>
      <c r="J53" s="162" t="e">
        <f t="shared" si="4"/>
        <v>#REF!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0" t="e">
        <f>DailyAccomplishmentReport!#REF!</f>
        <v>#REF!</v>
      </c>
      <c r="C54" s="36" t="e">
        <f>DailyAccomplishmentReport!#REF!</f>
        <v>#REF!</v>
      </c>
      <c r="D54" s="51" t="e">
        <f>DailyAccomplishmentReport!#REF!</f>
        <v>#REF!</v>
      </c>
      <c r="E54" s="51" t="e">
        <f>DailyAccomplishmentReport!#REF!</f>
        <v>#REF!</v>
      </c>
      <c r="F54" s="170" t="e">
        <f t="shared" si="5"/>
        <v>#REF!</v>
      </c>
      <c r="G54" s="170" t="e">
        <f t="shared" si="6"/>
        <v>#REF!</v>
      </c>
      <c r="H54" s="170" t="e">
        <f t="shared" si="2"/>
        <v>#REF!</v>
      </c>
      <c r="I54" s="170" t="e">
        <f t="shared" si="3"/>
        <v>#REF!</v>
      </c>
      <c r="J54" s="162" t="e">
        <f t="shared" si="4"/>
        <v>#REF!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0" t="e">
        <f>DailyAccomplishmentReport!#REF!</f>
        <v>#REF!</v>
      </c>
      <c r="C55" s="36" t="e">
        <f>DailyAccomplishmentReport!#REF!</f>
        <v>#REF!</v>
      </c>
      <c r="D55" s="51" t="e">
        <f>DailyAccomplishmentReport!#REF!</f>
        <v>#REF!</v>
      </c>
      <c r="E55" s="51" t="e">
        <f>DailyAccomplishmentReport!#REF!</f>
        <v>#REF!</v>
      </c>
      <c r="F55" s="170" t="e">
        <f t="shared" si="5"/>
        <v>#REF!</v>
      </c>
      <c r="G55" s="170" t="e">
        <f t="shared" si="6"/>
        <v>#REF!</v>
      </c>
      <c r="H55" s="170" t="e">
        <f t="shared" si="2"/>
        <v>#REF!</v>
      </c>
      <c r="I55" s="170" t="e">
        <f t="shared" si="3"/>
        <v>#REF!</v>
      </c>
      <c r="J55" s="162" t="e">
        <f t="shared" si="4"/>
        <v>#REF!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0" t="e">
        <f>DailyAccomplishmentReport!#REF!</f>
        <v>#REF!</v>
      </c>
      <c r="C56" s="36" t="e">
        <f>DailyAccomplishmentReport!#REF!</f>
        <v>#REF!</v>
      </c>
      <c r="D56" s="51" t="e">
        <f>DailyAccomplishmentReport!#REF!</f>
        <v>#REF!</v>
      </c>
      <c r="E56" s="51" t="e">
        <f>DailyAccomplishmentReport!#REF!</f>
        <v>#REF!</v>
      </c>
      <c r="F56" s="170" t="e">
        <f t="shared" si="5"/>
        <v>#REF!</v>
      </c>
      <c r="G56" s="170" t="e">
        <f t="shared" si="6"/>
        <v>#REF!</v>
      </c>
      <c r="H56" s="170" t="e">
        <f t="shared" si="2"/>
        <v>#REF!</v>
      </c>
      <c r="I56" s="170" t="e">
        <f t="shared" si="3"/>
        <v>#REF!</v>
      </c>
      <c r="J56" s="162" t="e">
        <f t="shared" si="4"/>
        <v>#REF!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0" t="e">
        <f>DailyAccomplishmentReport!#REF!</f>
        <v>#REF!</v>
      </c>
      <c r="C57" s="36" t="e">
        <f>DailyAccomplishmentReport!#REF!</f>
        <v>#REF!</v>
      </c>
      <c r="D57" s="51" t="e">
        <f>DailyAccomplishmentReport!#REF!</f>
        <v>#REF!</v>
      </c>
      <c r="E57" s="51" t="e">
        <f>DailyAccomplishmentReport!#REF!</f>
        <v>#REF!</v>
      </c>
      <c r="F57" s="170" t="e">
        <f t="shared" si="5"/>
        <v>#REF!</v>
      </c>
      <c r="G57" s="170" t="e">
        <f t="shared" si="6"/>
        <v>#REF!</v>
      </c>
      <c r="H57" s="170" t="e">
        <f t="shared" si="2"/>
        <v>#REF!</v>
      </c>
      <c r="I57" s="170" t="e">
        <f t="shared" si="3"/>
        <v>#REF!</v>
      </c>
      <c r="J57" s="162" t="e">
        <f t="shared" si="4"/>
        <v>#REF!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0" t="e">
        <f>DailyAccomplishmentReport!#REF!</f>
        <v>#REF!</v>
      </c>
      <c r="C58" s="36" t="e">
        <f>DailyAccomplishmentReport!#REF!</f>
        <v>#REF!</v>
      </c>
      <c r="D58" s="51" t="e">
        <f>DailyAccomplishmentReport!#REF!</f>
        <v>#REF!</v>
      </c>
      <c r="E58" s="51" t="e">
        <f>DailyAccomplishmentReport!#REF!</f>
        <v>#REF!</v>
      </c>
      <c r="F58" s="170" t="e">
        <f t="shared" si="5"/>
        <v>#REF!</v>
      </c>
      <c r="G58" s="170" t="e">
        <f t="shared" si="6"/>
        <v>#REF!</v>
      </c>
      <c r="H58" s="170" t="e">
        <f t="shared" si="2"/>
        <v>#REF!</v>
      </c>
      <c r="I58" s="170" t="e">
        <f t="shared" si="3"/>
        <v>#REF!</v>
      </c>
      <c r="J58" s="162" t="e">
        <f t="shared" si="4"/>
        <v>#REF!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0" t="e">
        <f>DailyAccomplishmentReport!#REF!</f>
        <v>#REF!</v>
      </c>
      <c r="C59" s="36" t="e">
        <f>DailyAccomplishmentReport!#REF!</f>
        <v>#REF!</v>
      </c>
      <c r="D59" s="51" t="e">
        <f>DailyAccomplishmentReport!#REF!</f>
        <v>#REF!</v>
      </c>
      <c r="E59" s="51" t="e">
        <f>DailyAccomplishmentReport!#REF!</f>
        <v>#REF!</v>
      </c>
      <c r="F59" s="170" t="e">
        <f t="shared" si="5"/>
        <v>#REF!</v>
      </c>
      <c r="G59" s="170" t="e">
        <f t="shared" si="6"/>
        <v>#REF!</v>
      </c>
      <c r="H59" s="170" t="e">
        <f t="shared" si="2"/>
        <v>#REF!</v>
      </c>
      <c r="I59" s="170" t="e">
        <f t="shared" si="3"/>
        <v>#REF!</v>
      </c>
      <c r="J59" s="162" t="e">
        <f t="shared" si="4"/>
        <v>#REF!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0" t="e">
        <f>DailyAccomplishmentReport!#REF!</f>
        <v>#REF!</v>
      </c>
      <c r="C60" s="36" t="e">
        <f>DailyAccomplishmentReport!#REF!</f>
        <v>#REF!</v>
      </c>
      <c r="D60" s="51" t="e">
        <f>DailyAccomplishmentReport!#REF!</f>
        <v>#REF!</v>
      </c>
      <c r="E60" s="51" t="e">
        <f>DailyAccomplishmentReport!#REF!</f>
        <v>#REF!</v>
      </c>
      <c r="F60" s="170" t="e">
        <f t="shared" si="5"/>
        <v>#REF!</v>
      </c>
      <c r="G60" s="170" t="e">
        <f t="shared" si="6"/>
        <v>#REF!</v>
      </c>
      <c r="H60" s="170" t="e">
        <f t="shared" si="2"/>
        <v>#REF!</v>
      </c>
      <c r="I60" s="170" t="e">
        <f t="shared" si="3"/>
        <v>#REF!</v>
      </c>
      <c r="J60" s="162" t="e">
        <f t="shared" si="4"/>
        <v>#REF!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0" t="e">
        <f>DailyAccomplishmentReport!#REF!</f>
        <v>#REF!</v>
      </c>
      <c r="C61" s="36" t="e">
        <f>DailyAccomplishmentReport!#REF!</f>
        <v>#REF!</v>
      </c>
      <c r="D61" s="51" t="e">
        <f>DailyAccomplishmentReport!#REF!</f>
        <v>#REF!</v>
      </c>
      <c r="E61" s="51" t="e">
        <f>DailyAccomplishmentReport!#REF!</f>
        <v>#REF!</v>
      </c>
      <c r="F61" s="170" t="e">
        <f t="shared" si="5"/>
        <v>#REF!</v>
      </c>
      <c r="G61" s="170" t="e">
        <f t="shared" si="6"/>
        <v>#REF!</v>
      </c>
      <c r="H61" s="170" t="e">
        <f t="shared" si="2"/>
        <v>#REF!</v>
      </c>
      <c r="I61" s="170" t="e">
        <f t="shared" si="3"/>
        <v>#REF!</v>
      </c>
      <c r="J61" s="162" t="e">
        <f t="shared" si="4"/>
        <v>#REF!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0" t="e">
        <f>DailyAccomplishmentReport!#REF!</f>
        <v>#REF!</v>
      </c>
      <c r="C62" s="36" t="e">
        <f>DailyAccomplishmentReport!#REF!</f>
        <v>#REF!</v>
      </c>
      <c r="D62" s="51" t="e">
        <f>DailyAccomplishmentReport!#REF!</f>
        <v>#REF!</v>
      </c>
      <c r="E62" s="51" t="e">
        <f>DailyAccomplishmentReport!#REF!</f>
        <v>#REF!</v>
      </c>
      <c r="F62" s="170" t="e">
        <f t="shared" si="5"/>
        <v>#REF!</v>
      </c>
      <c r="G62" s="170" t="e">
        <f t="shared" si="6"/>
        <v>#REF!</v>
      </c>
      <c r="H62" s="170" t="e">
        <f t="shared" si="2"/>
        <v>#REF!</v>
      </c>
      <c r="I62" s="170" t="e">
        <f t="shared" si="3"/>
        <v>#REF!</v>
      </c>
      <c r="J62" s="162" t="e">
        <f t="shared" si="4"/>
        <v>#REF!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0" t="e">
        <f>DailyAccomplishmentReport!#REF!</f>
        <v>#REF!</v>
      </c>
      <c r="C63" s="36" t="e">
        <f>DailyAccomplishmentReport!#REF!</f>
        <v>#REF!</v>
      </c>
      <c r="D63" s="51" t="e">
        <f>DailyAccomplishmentReport!#REF!</f>
        <v>#REF!</v>
      </c>
      <c r="E63" s="51" t="e">
        <f>DailyAccomplishmentReport!#REF!</f>
        <v>#REF!</v>
      </c>
      <c r="F63" s="170" t="e">
        <f t="shared" si="5"/>
        <v>#REF!</v>
      </c>
      <c r="G63" s="170" t="e">
        <f t="shared" si="6"/>
        <v>#REF!</v>
      </c>
      <c r="H63" s="170" t="e">
        <f t="shared" si="2"/>
        <v>#REF!</v>
      </c>
      <c r="I63" s="170" t="e">
        <f t="shared" si="3"/>
        <v>#REF!</v>
      </c>
      <c r="J63" s="162" t="e">
        <f t="shared" si="4"/>
        <v>#REF!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0" t="e">
        <f>DailyAccomplishmentReport!#REF!</f>
        <v>#REF!</v>
      </c>
      <c r="C64" s="36" t="e">
        <f>DailyAccomplishmentReport!#REF!</f>
        <v>#REF!</v>
      </c>
      <c r="D64" s="51" t="e">
        <f>DailyAccomplishmentReport!#REF!</f>
        <v>#REF!</v>
      </c>
      <c r="E64" s="51" t="e">
        <f>DailyAccomplishmentReport!#REF!</f>
        <v>#REF!</v>
      </c>
      <c r="F64" s="170" t="e">
        <f t="shared" si="5"/>
        <v>#REF!</v>
      </c>
      <c r="G64" s="170" t="e">
        <f t="shared" si="6"/>
        <v>#REF!</v>
      </c>
      <c r="H64" s="170" t="e">
        <f t="shared" si="2"/>
        <v>#REF!</v>
      </c>
      <c r="I64" s="170" t="e">
        <f t="shared" si="3"/>
        <v>#REF!</v>
      </c>
      <c r="J64" s="162" t="e">
        <f t="shared" si="4"/>
        <v>#REF!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0" t="e">
        <f>DailyAccomplishmentReport!#REF!</f>
        <v>#REF!</v>
      </c>
      <c r="C65" s="36" t="e">
        <f>DailyAccomplishmentReport!#REF!</f>
        <v>#REF!</v>
      </c>
      <c r="D65" s="51" t="e">
        <f>DailyAccomplishmentReport!#REF!</f>
        <v>#REF!</v>
      </c>
      <c r="E65" s="51" t="e">
        <f>DailyAccomplishmentReport!#REF!</f>
        <v>#REF!</v>
      </c>
      <c r="F65" s="170" t="e">
        <f t="shared" si="5"/>
        <v>#REF!</v>
      </c>
      <c r="G65" s="170" t="e">
        <f t="shared" si="6"/>
        <v>#REF!</v>
      </c>
      <c r="H65" s="170" t="e">
        <f t="shared" si="2"/>
        <v>#REF!</v>
      </c>
      <c r="I65" s="170" t="e">
        <f t="shared" si="3"/>
        <v>#REF!</v>
      </c>
      <c r="J65" s="162" t="e">
        <f t="shared" si="4"/>
        <v>#REF!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0" t="e">
        <f>DailyAccomplishmentReport!#REF!</f>
        <v>#REF!</v>
      </c>
      <c r="C66" s="36" t="e">
        <f>DailyAccomplishmentReport!#REF!</f>
        <v>#REF!</v>
      </c>
      <c r="D66" s="51" t="e">
        <f>DailyAccomplishmentReport!#REF!</f>
        <v>#REF!</v>
      </c>
      <c r="E66" s="51" t="e">
        <f>DailyAccomplishmentReport!#REF!</f>
        <v>#REF!</v>
      </c>
      <c r="F66" s="170" t="e">
        <f t="shared" si="5"/>
        <v>#REF!</v>
      </c>
      <c r="G66" s="170" t="e">
        <f t="shared" si="6"/>
        <v>#REF!</v>
      </c>
      <c r="H66" s="170" t="e">
        <f t="shared" si="2"/>
        <v>#REF!</v>
      </c>
      <c r="I66" s="170" t="e">
        <f t="shared" si="3"/>
        <v>#REF!</v>
      </c>
      <c r="J66" s="162" t="e">
        <f t="shared" si="4"/>
        <v>#REF!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0" t="e">
        <f>DailyAccomplishmentReport!#REF!</f>
        <v>#REF!</v>
      </c>
      <c r="C67" s="36" t="e">
        <f>DailyAccomplishmentReport!#REF!</f>
        <v>#REF!</v>
      </c>
      <c r="D67" s="51" t="e">
        <f>DailyAccomplishmentReport!#REF!</f>
        <v>#REF!</v>
      </c>
      <c r="E67" s="51" t="e">
        <f>DailyAccomplishmentReport!#REF!</f>
        <v>#REF!</v>
      </c>
      <c r="F67" s="170" t="e">
        <f t="shared" si="5"/>
        <v>#REF!</v>
      </c>
      <c r="G67" s="170" t="e">
        <f t="shared" si="6"/>
        <v>#REF!</v>
      </c>
      <c r="H67" s="170" t="e">
        <f t="shared" si="2"/>
        <v>#REF!</v>
      </c>
      <c r="I67" s="170" t="e">
        <f t="shared" si="3"/>
        <v>#REF!</v>
      </c>
      <c r="J67" s="162" t="e">
        <f t="shared" si="4"/>
        <v>#REF!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0" t="e">
        <f>DailyAccomplishmentReport!#REF!</f>
        <v>#REF!</v>
      </c>
      <c r="C68" s="36" t="e">
        <f>DailyAccomplishmentReport!#REF!</f>
        <v>#REF!</v>
      </c>
      <c r="D68" s="51" t="e">
        <f>DailyAccomplishmentReport!#REF!</f>
        <v>#REF!</v>
      </c>
      <c r="E68" s="51" t="e">
        <f>DailyAccomplishmentReport!#REF!</f>
        <v>#REF!</v>
      </c>
      <c r="F68" s="170" t="e">
        <f t="shared" ref="F68:F93" si="7">D68*$K$4</f>
        <v>#REF!</v>
      </c>
      <c r="G68" s="170" t="e">
        <f t="shared" ref="G68:G93" si="8">E68*$K$4</f>
        <v>#REF!</v>
      </c>
      <c r="H68" s="170" t="e">
        <f t="shared" si="2"/>
        <v>#REF!</v>
      </c>
      <c r="I68" s="170" t="e">
        <f t="shared" si="3"/>
        <v>#REF!</v>
      </c>
      <c r="J68" s="162" t="e">
        <f t="shared" si="4"/>
        <v>#REF!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0" t="e">
        <f>DailyAccomplishmentReport!#REF!</f>
        <v>#REF!</v>
      </c>
      <c r="C69" s="36" t="e">
        <f>DailyAccomplishmentReport!#REF!</f>
        <v>#REF!</v>
      </c>
      <c r="D69" s="51" t="e">
        <f>DailyAccomplishmentReport!#REF!</f>
        <v>#REF!</v>
      </c>
      <c r="E69" s="51" t="e">
        <f>DailyAccomplishmentReport!#REF!</f>
        <v>#REF!</v>
      </c>
      <c r="F69" s="170" t="e">
        <f t="shared" si="7"/>
        <v>#REF!</v>
      </c>
      <c r="G69" s="170" t="e">
        <f t="shared" si="8"/>
        <v>#REF!</v>
      </c>
      <c r="H69" s="170" t="e">
        <f t="shared" si="2"/>
        <v>#REF!</v>
      </c>
      <c r="I69" s="170" t="e">
        <f t="shared" si="3"/>
        <v>#REF!</v>
      </c>
      <c r="J69" s="162" t="e">
        <f t="shared" si="4"/>
        <v>#REF!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0" t="e">
        <f>DailyAccomplishmentReport!#REF!</f>
        <v>#REF!</v>
      </c>
      <c r="C70" s="36" t="e">
        <f>DailyAccomplishmentReport!#REF!</f>
        <v>#REF!</v>
      </c>
      <c r="D70" s="51" t="e">
        <f>DailyAccomplishmentReport!#REF!</f>
        <v>#REF!</v>
      </c>
      <c r="E70" s="51" t="e">
        <f>DailyAccomplishmentReport!#REF!</f>
        <v>#REF!</v>
      </c>
      <c r="F70" s="170" t="e">
        <f t="shared" si="7"/>
        <v>#REF!</v>
      </c>
      <c r="G70" s="170" t="e">
        <f t="shared" si="8"/>
        <v>#REF!</v>
      </c>
      <c r="H70" s="170" t="e">
        <f t="shared" si="2"/>
        <v>#REF!</v>
      </c>
      <c r="I70" s="170" t="e">
        <f t="shared" si="3"/>
        <v>#REF!</v>
      </c>
      <c r="J70" s="162" t="e">
        <f t="shared" si="4"/>
        <v>#REF!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0" t="e">
        <f>DailyAccomplishmentReport!#REF!</f>
        <v>#REF!</v>
      </c>
      <c r="C71" s="36" t="e">
        <f>DailyAccomplishmentReport!#REF!</f>
        <v>#REF!</v>
      </c>
      <c r="D71" s="51" t="e">
        <f>DailyAccomplishmentReport!#REF!</f>
        <v>#REF!</v>
      </c>
      <c r="E71" s="51" t="e">
        <f>DailyAccomplishmentReport!#REF!</f>
        <v>#REF!</v>
      </c>
      <c r="F71" s="170" t="e">
        <f t="shared" si="7"/>
        <v>#REF!</v>
      </c>
      <c r="G71" s="170" t="e">
        <f t="shared" si="8"/>
        <v>#REF!</v>
      </c>
      <c r="H71" s="170" t="e">
        <f t="shared" si="2"/>
        <v>#REF!</v>
      </c>
      <c r="I71" s="170" t="e">
        <f t="shared" si="3"/>
        <v>#REF!</v>
      </c>
      <c r="J71" s="162" t="e">
        <f t="shared" si="4"/>
        <v>#REF!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0" t="e">
        <f>DailyAccomplishmentReport!#REF!</f>
        <v>#REF!</v>
      </c>
      <c r="C72" s="36" t="e">
        <f>DailyAccomplishmentReport!#REF!</f>
        <v>#REF!</v>
      </c>
      <c r="D72" s="51" t="e">
        <f>DailyAccomplishmentReport!#REF!</f>
        <v>#REF!</v>
      </c>
      <c r="E72" s="51" t="e">
        <f>DailyAccomplishmentReport!#REF!</f>
        <v>#REF!</v>
      </c>
      <c r="F72" s="170" t="e">
        <f t="shared" si="7"/>
        <v>#REF!</v>
      </c>
      <c r="G72" s="170" t="e">
        <f t="shared" si="8"/>
        <v>#REF!</v>
      </c>
      <c r="H72" s="170" t="e">
        <f t="shared" si="2"/>
        <v>#REF!</v>
      </c>
      <c r="I72" s="170" t="e">
        <f t="shared" si="3"/>
        <v>#REF!</v>
      </c>
      <c r="J72" s="162" t="e">
        <f t="shared" si="4"/>
        <v>#REF!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0" t="e">
        <f>DailyAccomplishmentReport!#REF!</f>
        <v>#REF!</v>
      </c>
      <c r="C73" s="36" t="e">
        <f>DailyAccomplishmentReport!#REF!</f>
        <v>#REF!</v>
      </c>
      <c r="D73" s="51" t="e">
        <f>DailyAccomplishmentReport!#REF!</f>
        <v>#REF!</v>
      </c>
      <c r="E73" s="51" t="e">
        <f>DailyAccomplishmentReport!#REF!</f>
        <v>#REF!</v>
      </c>
      <c r="F73" s="170" t="e">
        <f t="shared" si="7"/>
        <v>#REF!</v>
      </c>
      <c r="G73" s="170" t="e">
        <f t="shared" si="8"/>
        <v>#REF!</v>
      </c>
      <c r="H73" s="170" t="e">
        <f t="shared" si="2"/>
        <v>#REF!</v>
      </c>
      <c r="I73" s="170" t="e">
        <f t="shared" si="3"/>
        <v>#REF!</v>
      </c>
      <c r="J73" s="162" t="e">
        <f t="shared" si="4"/>
        <v>#REF!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0" t="e">
        <f>DailyAccomplishmentReport!#REF!</f>
        <v>#REF!</v>
      </c>
      <c r="C74" s="36" t="e">
        <f>DailyAccomplishmentReport!#REF!</f>
        <v>#REF!</v>
      </c>
      <c r="D74" s="51" t="e">
        <f>DailyAccomplishmentReport!#REF!</f>
        <v>#REF!</v>
      </c>
      <c r="E74" s="51" t="e">
        <f>DailyAccomplishmentReport!#REF!</f>
        <v>#REF!</v>
      </c>
      <c r="F74" s="170" t="e">
        <f t="shared" si="7"/>
        <v>#REF!</v>
      </c>
      <c r="G74" s="170" t="e">
        <f t="shared" si="8"/>
        <v>#REF!</v>
      </c>
      <c r="H74" s="170" t="e">
        <f t="shared" si="2"/>
        <v>#REF!</v>
      </c>
      <c r="I74" s="170" t="e">
        <f t="shared" si="3"/>
        <v>#REF!</v>
      </c>
      <c r="J74" s="162" t="e">
        <f t="shared" si="4"/>
        <v>#REF!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0" t="e">
        <f>DailyAccomplishmentReport!#REF!</f>
        <v>#REF!</v>
      </c>
      <c r="C75" s="36" t="e">
        <f>DailyAccomplishmentReport!#REF!</f>
        <v>#REF!</v>
      </c>
      <c r="D75" s="51" t="e">
        <f>DailyAccomplishmentReport!#REF!</f>
        <v>#REF!</v>
      </c>
      <c r="E75" s="51" t="e">
        <f>DailyAccomplishmentReport!#REF!</f>
        <v>#REF!</v>
      </c>
      <c r="F75" s="170" t="e">
        <f t="shared" si="7"/>
        <v>#REF!</v>
      </c>
      <c r="G75" s="170" t="e">
        <f t="shared" si="8"/>
        <v>#REF!</v>
      </c>
      <c r="H75" s="170" t="e">
        <f t="shared" si="2"/>
        <v>#REF!</v>
      </c>
      <c r="I75" s="170" t="e">
        <f t="shared" si="3"/>
        <v>#REF!</v>
      </c>
      <c r="J75" s="162" t="e">
        <f t="shared" si="4"/>
        <v>#REF!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0" t="e">
        <f>DailyAccomplishmentReport!#REF!</f>
        <v>#REF!</v>
      </c>
      <c r="C76" s="36" t="e">
        <f>DailyAccomplishmentReport!#REF!</f>
        <v>#REF!</v>
      </c>
      <c r="D76" s="51" t="e">
        <f>DailyAccomplishmentReport!#REF!</f>
        <v>#REF!</v>
      </c>
      <c r="E76" s="51" t="e">
        <f>DailyAccomplishmentReport!#REF!</f>
        <v>#REF!</v>
      </c>
      <c r="F76" s="170" t="e">
        <f t="shared" si="7"/>
        <v>#REF!</v>
      </c>
      <c r="G76" s="170" t="e">
        <f t="shared" si="8"/>
        <v>#REF!</v>
      </c>
      <c r="H76" s="170" t="e">
        <f t="shared" si="2"/>
        <v>#REF!</v>
      </c>
      <c r="I76" s="170" t="e">
        <f t="shared" si="3"/>
        <v>#REF!</v>
      </c>
      <c r="J76" s="162" t="e">
        <f t="shared" si="4"/>
        <v>#REF!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0" t="e">
        <f>DailyAccomplishmentReport!#REF!</f>
        <v>#REF!</v>
      </c>
      <c r="C77" s="36" t="e">
        <f>DailyAccomplishmentReport!#REF!</f>
        <v>#REF!</v>
      </c>
      <c r="D77" s="51" t="e">
        <f>DailyAccomplishmentReport!#REF!</f>
        <v>#REF!</v>
      </c>
      <c r="E77" s="51" t="e">
        <f>DailyAccomplishmentReport!#REF!</f>
        <v>#REF!</v>
      </c>
      <c r="F77" s="170" t="e">
        <f t="shared" si="7"/>
        <v>#REF!</v>
      </c>
      <c r="G77" s="170" t="e">
        <f t="shared" si="8"/>
        <v>#REF!</v>
      </c>
      <c r="H77" s="170" t="e">
        <f t="shared" si="2"/>
        <v>#REF!</v>
      </c>
      <c r="I77" s="170" t="e">
        <f t="shared" si="3"/>
        <v>#REF!</v>
      </c>
      <c r="J77" s="162" t="e">
        <f t="shared" si="4"/>
        <v>#REF!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0" t="e">
        <f>DailyAccomplishmentReport!#REF!</f>
        <v>#REF!</v>
      </c>
      <c r="C78" s="36" t="e">
        <f>DailyAccomplishmentReport!#REF!</f>
        <v>#REF!</v>
      </c>
      <c r="D78" s="51" t="e">
        <f>DailyAccomplishmentReport!#REF!</f>
        <v>#REF!</v>
      </c>
      <c r="E78" s="51" t="e">
        <f>DailyAccomplishmentReport!#REF!</f>
        <v>#REF!</v>
      </c>
      <c r="F78" s="170" t="e">
        <f t="shared" si="7"/>
        <v>#REF!</v>
      </c>
      <c r="G78" s="170" t="e">
        <f t="shared" si="8"/>
        <v>#REF!</v>
      </c>
      <c r="H78" s="170" t="e">
        <f t="shared" si="2"/>
        <v>#REF!</v>
      </c>
      <c r="I78" s="170" t="e">
        <f t="shared" si="3"/>
        <v>#REF!</v>
      </c>
      <c r="J78" s="162" t="e">
        <f t="shared" si="4"/>
        <v>#REF!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0" t="e">
        <f>DailyAccomplishmentReport!#REF!</f>
        <v>#REF!</v>
      </c>
      <c r="C79" s="36" t="e">
        <f>DailyAccomplishmentReport!#REF!</f>
        <v>#REF!</v>
      </c>
      <c r="D79" s="51" t="e">
        <f>DailyAccomplishmentReport!#REF!</f>
        <v>#REF!</v>
      </c>
      <c r="E79" s="51" t="e">
        <f>DailyAccomplishmentReport!#REF!</f>
        <v>#REF!</v>
      </c>
      <c r="F79" s="170" t="e">
        <f t="shared" si="7"/>
        <v>#REF!</v>
      </c>
      <c r="G79" s="170" t="e">
        <f t="shared" si="8"/>
        <v>#REF!</v>
      </c>
      <c r="H79" s="170" t="e">
        <f t="shared" si="2"/>
        <v>#REF!</v>
      </c>
      <c r="I79" s="170" t="e">
        <f t="shared" si="3"/>
        <v>#REF!</v>
      </c>
      <c r="J79" s="162" t="e">
        <f t="shared" si="4"/>
        <v>#REF!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0" t="e">
        <f>DailyAccomplishmentReport!#REF!</f>
        <v>#REF!</v>
      </c>
      <c r="C80" s="36" t="e">
        <f>DailyAccomplishmentReport!#REF!</f>
        <v>#REF!</v>
      </c>
      <c r="D80" s="51" t="e">
        <f>DailyAccomplishmentReport!#REF!</f>
        <v>#REF!</v>
      </c>
      <c r="E80" s="51" t="e">
        <f>DailyAccomplishmentReport!#REF!</f>
        <v>#REF!</v>
      </c>
      <c r="F80" s="170" t="e">
        <f t="shared" si="7"/>
        <v>#REF!</v>
      </c>
      <c r="G80" s="170" t="e">
        <f t="shared" si="8"/>
        <v>#REF!</v>
      </c>
      <c r="H80" s="170" t="e">
        <f t="shared" si="2"/>
        <v>#REF!</v>
      </c>
      <c r="I80" s="170" t="e">
        <f t="shared" si="3"/>
        <v>#REF!</v>
      </c>
      <c r="J80" s="162" t="e">
        <f t="shared" si="4"/>
        <v>#REF!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0" t="e">
        <f>DailyAccomplishmentReport!#REF!</f>
        <v>#REF!</v>
      </c>
      <c r="C81" s="36" t="e">
        <f>DailyAccomplishmentReport!#REF!</f>
        <v>#REF!</v>
      </c>
      <c r="D81" s="51" t="e">
        <f>DailyAccomplishmentReport!#REF!</f>
        <v>#REF!</v>
      </c>
      <c r="E81" s="51" t="e">
        <f>DailyAccomplishmentReport!#REF!</f>
        <v>#REF!</v>
      </c>
      <c r="F81" s="170" t="e">
        <f t="shared" si="7"/>
        <v>#REF!</v>
      </c>
      <c r="G81" s="170" t="e">
        <f t="shared" si="8"/>
        <v>#REF!</v>
      </c>
      <c r="H81" s="170" t="e">
        <f t="shared" si="2"/>
        <v>#REF!</v>
      </c>
      <c r="I81" s="170" t="e">
        <f t="shared" si="3"/>
        <v>#REF!</v>
      </c>
      <c r="J81" s="162" t="e">
        <f t="shared" si="4"/>
        <v>#REF!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0" t="e">
        <f>DailyAccomplishmentReport!#REF!</f>
        <v>#REF!</v>
      </c>
      <c r="C82" s="36" t="e">
        <f>DailyAccomplishmentReport!#REF!</f>
        <v>#REF!</v>
      </c>
      <c r="D82" s="51" t="e">
        <f>DailyAccomplishmentReport!#REF!</f>
        <v>#REF!</v>
      </c>
      <c r="E82" s="51" t="e">
        <f>DailyAccomplishmentReport!#REF!</f>
        <v>#REF!</v>
      </c>
      <c r="F82" s="170" t="e">
        <f t="shared" si="7"/>
        <v>#REF!</v>
      </c>
      <c r="G82" s="170" t="e">
        <f t="shared" si="8"/>
        <v>#REF!</v>
      </c>
      <c r="H82" s="170" t="e">
        <f t="shared" si="2"/>
        <v>#REF!</v>
      </c>
      <c r="I82" s="170" t="e">
        <f t="shared" si="3"/>
        <v>#REF!</v>
      </c>
      <c r="J82" s="162" t="e">
        <f t="shared" si="4"/>
        <v>#REF!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0" t="e">
        <f>DailyAccomplishmentReport!#REF!</f>
        <v>#REF!</v>
      </c>
      <c r="C83" s="36" t="e">
        <f>DailyAccomplishmentReport!#REF!</f>
        <v>#REF!</v>
      </c>
      <c r="D83" s="51" t="e">
        <f>DailyAccomplishmentReport!#REF!</f>
        <v>#REF!</v>
      </c>
      <c r="E83" s="51" t="e">
        <f>DailyAccomplishmentReport!#REF!</f>
        <v>#REF!</v>
      </c>
      <c r="F83" s="170" t="e">
        <f t="shared" si="7"/>
        <v>#REF!</v>
      </c>
      <c r="G83" s="170" t="e">
        <f t="shared" si="8"/>
        <v>#REF!</v>
      </c>
      <c r="H83" s="170" t="e">
        <f t="shared" si="2"/>
        <v>#REF!</v>
      </c>
      <c r="I83" s="170" t="e">
        <f t="shared" si="3"/>
        <v>#REF!</v>
      </c>
      <c r="J83" s="162" t="e">
        <f t="shared" si="4"/>
        <v>#REF!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0" t="e">
        <f>DailyAccomplishmentReport!#REF!</f>
        <v>#REF!</v>
      </c>
      <c r="C84" s="36" t="e">
        <f>DailyAccomplishmentReport!#REF!</f>
        <v>#REF!</v>
      </c>
      <c r="D84" s="51" t="e">
        <f>DailyAccomplishmentReport!#REF!</f>
        <v>#REF!</v>
      </c>
      <c r="E84" s="51" t="e">
        <f>DailyAccomplishmentReport!#REF!</f>
        <v>#REF!</v>
      </c>
      <c r="F84" s="170" t="e">
        <f t="shared" si="7"/>
        <v>#REF!</v>
      </c>
      <c r="G84" s="170" t="e">
        <f t="shared" si="8"/>
        <v>#REF!</v>
      </c>
      <c r="H84" s="170" t="e">
        <f t="shared" si="2"/>
        <v>#REF!</v>
      </c>
      <c r="I84" s="170" t="e">
        <f t="shared" si="3"/>
        <v>#REF!</v>
      </c>
      <c r="J84" s="162" t="e">
        <f t="shared" si="4"/>
        <v>#REF!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0" t="e">
        <f>DailyAccomplishmentReport!#REF!</f>
        <v>#REF!</v>
      </c>
      <c r="C85" s="36" t="e">
        <f>DailyAccomplishmentReport!#REF!</f>
        <v>#REF!</v>
      </c>
      <c r="D85" s="51" t="e">
        <f>DailyAccomplishmentReport!#REF!</f>
        <v>#REF!</v>
      </c>
      <c r="E85" s="51" t="e">
        <f>DailyAccomplishmentReport!#REF!</f>
        <v>#REF!</v>
      </c>
      <c r="F85" s="170" t="e">
        <f t="shared" si="7"/>
        <v>#REF!</v>
      </c>
      <c r="G85" s="170" t="e">
        <f t="shared" si="8"/>
        <v>#REF!</v>
      </c>
      <c r="H85" s="170" t="e">
        <f t="shared" si="2"/>
        <v>#REF!</v>
      </c>
      <c r="I85" s="170" t="e">
        <f t="shared" si="3"/>
        <v>#REF!</v>
      </c>
      <c r="J85" s="162" t="e">
        <f t="shared" si="4"/>
        <v>#REF!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0" t="e">
        <f>DailyAccomplishmentReport!#REF!</f>
        <v>#REF!</v>
      </c>
      <c r="C86" s="36" t="e">
        <f>DailyAccomplishmentReport!#REF!</f>
        <v>#REF!</v>
      </c>
      <c r="D86" s="51" t="e">
        <f>DailyAccomplishmentReport!#REF!</f>
        <v>#REF!</v>
      </c>
      <c r="E86" s="51" t="e">
        <f>DailyAccomplishmentReport!#REF!</f>
        <v>#REF!</v>
      </c>
      <c r="F86" s="170" t="e">
        <f t="shared" si="7"/>
        <v>#REF!</v>
      </c>
      <c r="G86" s="170" t="e">
        <f t="shared" si="8"/>
        <v>#REF!</v>
      </c>
      <c r="H86" s="170" t="e">
        <f t="shared" si="2"/>
        <v>#REF!</v>
      </c>
      <c r="I86" s="170" t="e">
        <f t="shared" si="3"/>
        <v>#REF!</v>
      </c>
      <c r="J86" s="162" t="e">
        <f t="shared" si="4"/>
        <v>#REF!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0" t="e">
        <f>DailyAccomplishmentReport!#REF!</f>
        <v>#REF!</v>
      </c>
      <c r="C87" s="36" t="e">
        <f>DailyAccomplishmentReport!#REF!</f>
        <v>#REF!</v>
      </c>
      <c r="D87" s="51" t="e">
        <f>DailyAccomplishmentReport!#REF!</f>
        <v>#REF!</v>
      </c>
      <c r="E87" s="51" t="e">
        <f>DailyAccomplishmentReport!#REF!</f>
        <v>#REF!</v>
      </c>
      <c r="F87" s="170" t="e">
        <f t="shared" si="7"/>
        <v>#REF!</v>
      </c>
      <c r="G87" s="170" t="e">
        <f t="shared" si="8"/>
        <v>#REF!</v>
      </c>
      <c r="H87" s="170" t="e">
        <f t="shared" si="2"/>
        <v>#REF!</v>
      </c>
      <c r="I87" s="170" t="e">
        <f t="shared" si="3"/>
        <v>#REF!</v>
      </c>
      <c r="J87" s="162" t="e">
        <f t="shared" si="4"/>
        <v>#REF!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0" t="e">
        <f>DailyAccomplishmentReport!#REF!</f>
        <v>#REF!</v>
      </c>
      <c r="C88" s="36" t="e">
        <f>DailyAccomplishmentReport!#REF!</f>
        <v>#REF!</v>
      </c>
      <c r="D88" s="51" t="e">
        <f>DailyAccomplishmentReport!#REF!</f>
        <v>#REF!</v>
      </c>
      <c r="E88" s="51" t="e">
        <f>DailyAccomplishmentReport!#REF!</f>
        <v>#REF!</v>
      </c>
      <c r="F88" s="170" t="e">
        <f t="shared" si="7"/>
        <v>#REF!</v>
      </c>
      <c r="G88" s="170" t="e">
        <f t="shared" si="8"/>
        <v>#REF!</v>
      </c>
      <c r="H88" s="170" t="e">
        <f t="shared" si="2"/>
        <v>#REF!</v>
      </c>
      <c r="I88" s="170" t="e">
        <f t="shared" si="3"/>
        <v>#REF!</v>
      </c>
      <c r="J88" s="162" t="e">
        <f t="shared" si="4"/>
        <v>#REF!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0" t="e">
        <f>DailyAccomplishmentReport!#REF!</f>
        <v>#REF!</v>
      </c>
      <c r="C89" s="36" t="e">
        <f>DailyAccomplishmentReport!#REF!</f>
        <v>#REF!</v>
      </c>
      <c r="D89" s="51" t="e">
        <f>DailyAccomplishmentReport!#REF!</f>
        <v>#REF!</v>
      </c>
      <c r="E89" s="51" t="e">
        <f>DailyAccomplishmentReport!#REF!</f>
        <v>#REF!</v>
      </c>
      <c r="F89" s="170" t="e">
        <f t="shared" si="7"/>
        <v>#REF!</v>
      </c>
      <c r="G89" s="170" t="e">
        <f t="shared" si="8"/>
        <v>#REF!</v>
      </c>
      <c r="H89" s="170" t="e">
        <f t="shared" si="2"/>
        <v>#REF!</v>
      </c>
      <c r="I89" s="170" t="e">
        <f t="shared" si="3"/>
        <v>#REF!</v>
      </c>
      <c r="J89" s="162" t="e">
        <f t="shared" si="4"/>
        <v>#REF!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0" t="e">
        <f>DailyAccomplishmentReport!#REF!</f>
        <v>#REF!</v>
      </c>
      <c r="C90" s="36" t="e">
        <f>DailyAccomplishmentReport!#REF!</f>
        <v>#REF!</v>
      </c>
      <c r="D90" s="51" t="e">
        <f>DailyAccomplishmentReport!#REF!</f>
        <v>#REF!</v>
      </c>
      <c r="E90" s="51" t="e">
        <f>DailyAccomplishmentReport!#REF!</f>
        <v>#REF!</v>
      </c>
      <c r="F90" s="170" t="e">
        <f t="shared" si="7"/>
        <v>#REF!</v>
      </c>
      <c r="G90" s="170" t="e">
        <f t="shared" si="8"/>
        <v>#REF!</v>
      </c>
      <c r="H90" s="170" t="e">
        <f t="shared" si="2"/>
        <v>#REF!</v>
      </c>
      <c r="I90" s="170" t="e">
        <f t="shared" si="3"/>
        <v>#REF!</v>
      </c>
      <c r="J90" s="162" t="e">
        <f t="shared" si="4"/>
        <v>#REF!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0" t="e">
        <f>DailyAccomplishmentReport!#REF!</f>
        <v>#REF!</v>
      </c>
      <c r="C91" s="36" t="e">
        <f>DailyAccomplishmentReport!#REF!</f>
        <v>#REF!</v>
      </c>
      <c r="D91" s="51" t="e">
        <f>DailyAccomplishmentReport!#REF!</f>
        <v>#REF!</v>
      </c>
      <c r="E91" s="51" t="e">
        <f>DailyAccomplishmentReport!#REF!</f>
        <v>#REF!</v>
      </c>
      <c r="F91" s="170" t="e">
        <f t="shared" si="7"/>
        <v>#REF!</v>
      </c>
      <c r="G91" s="170" t="e">
        <f t="shared" si="8"/>
        <v>#REF!</v>
      </c>
      <c r="H91" s="170" t="e">
        <f t="shared" si="2"/>
        <v>#REF!</v>
      </c>
      <c r="I91" s="170" t="e">
        <f t="shared" si="3"/>
        <v>#REF!</v>
      </c>
      <c r="J91" s="162" t="e">
        <f t="shared" si="4"/>
        <v>#REF!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0" t="e">
        <f>DailyAccomplishmentReport!#REF!</f>
        <v>#REF!</v>
      </c>
      <c r="C92" s="36" t="e">
        <f>DailyAccomplishmentReport!#REF!</f>
        <v>#REF!</v>
      </c>
      <c r="D92" s="51" t="e">
        <f>DailyAccomplishmentReport!#REF!</f>
        <v>#REF!</v>
      </c>
      <c r="E92" s="51" t="e">
        <f>DailyAccomplishmentReport!#REF!</f>
        <v>#REF!</v>
      </c>
      <c r="F92" s="170" t="e">
        <f t="shared" si="7"/>
        <v>#REF!</v>
      </c>
      <c r="G92" s="170" t="e">
        <f t="shared" si="8"/>
        <v>#REF!</v>
      </c>
      <c r="H92" s="170" t="e">
        <f t="shared" si="2"/>
        <v>#REF!</v>
      </c>
      <c r="I92" s="170" t="e">
        <f t="shared" si="3"/>
        <v>#REF!</v>
      </c>
      <c r="J92" s="162" t="e">
        <f t="shared" si="4"/>
        <v>#REF!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0">
        <f>DailyAccomplishmentReport!S43</f>
        <v>0</v>
      </c>
      <c r="C93" s="36">
        <f>DailyAccomplishmentReport!T43</f>
        <v>0</v>
      </c>
      <c r="D93" s="51">
        <f>DailyAccomplishmentReport!C43</f>
        <v>0</v>
      </c>
      <c r="E93" s="51">
        <f>DailyAccomplishmentReport!AP43</f>
        <v>0</v>
      </c>
      <c r="F93" s="170">
        <f t="shared" si="7"/>
        <v>0</v>
      </c>
      <c r="G93" s="170">
        <f t="shared" si="8"/>
        <v>0</v>
      </c>
      <c r="H93" s="170">
        <f t="shared" si="2"/>
        <v>0</v>
      </c>
      <c r="I93" s="170">
        <f t="shared" si="3"/>
        <v>0</v>
      </c>
      <c r="J93" s="162">
        <f t="shared" si="4"/>
        <v>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60"/>
      <c r="C94" s="57"/>
      <c r="D94" s="57"/>
      <c r="E94" s="57"/>
      <c r="F94" s="57"/>
      <c r="G94" s="57"/>
      <c r="H94" s="57"/>
      <c r="I94" s="57"/>
      <c r="J94" s="59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1:J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HeadingPairs>
  <TitlesOfParts>
    <vt:vector size="31" baseType="lpstr">
      <vt:lpstr>Instruction</vt:lpstr>
      <vt:lpstr>DailyAccomplishmentReport</vt:lpstr>
      <vt:lpstr>Attendance Report__First</vt:lpstr>
      <vt:lpstr>Attendance Report_Second</vt:lpstr>
      <vt:lpstr>Attendance Report - Manager</vt:lpstr>
      <vt:lpstr>Billing</vt:lpstr>
      <vt:lpstr>Ref</vt:lpstr>
      <vt:lpstr>Summary</vt:lpstr>
      <vt:lpstr>'Attendance Report - Manager'!activity</vt:lpstr>
      <vt:lpstr>'Attendance Report__First'!activity</vt:lpstr>
      <vt:lpstr>'Attendance Report_Second'!activity</vt:lpstr>
      <vt:lpstr>activity</vt:lpstr>
      <vt:lpstr>budget</vt:lpstr>
      <vt:lpstr>'Attendance Report - Manager'!costCtr</vt:lpstr>
      <vt:lpstr>'Attendance Report__First'!costCtr</vt:lpstr>
      <vt:lpstr>'Attendance Report_Second'!costCtr</vt:lpstr>
      <vt:lpstr>costCtr</vt:lpstr>
      <vt:lpstr>list1</vt:lpstr>
      <vt:lpstr>'Attendance Report - Manager'!provider</vt:lpstr>
      <vt:lpstr>'Attendance Report__First'!provider</vt:lpstr>
      <vt:lpstr>'Attendance Report_Second'!provider</vt:lpstr>
      <vt:lpstr>provider</vt:lpstr>
      <vt:lpstr>s</vt:lpstr>
      <vt:lpstr>'Attendance Report - Manager'!section</vt:lpstr>
      <vt:lpstr>'Attendance Report__First'!section</vt:lpstr>
      <vt:lpstr>'Attendance Report_Second'!section</vt:lpstr>
      <vt:lpstr>section</vt:lpstr>
      <vt:lpstr>'Attendance Report - Manager'!teamLead</vt:lpstr>
      <vt:lpstr>'Attendance Report__First'!teamLead</vt:lpstr>
      <vt:lpstr>'Attendance Report_Second'!teamLead</vt:lpstr>
      <vt:lpstr>teamLead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ngchin;Christa Sarrate</dc:creator>
  <cp:lastModifiedBy>MPI</cp:lastModifiedBy>
  <dcterms:created xsi:type="dcterms:W3CDTF">2013-10-08T03:12:09Z</dcterms:created>
  <dcterms:modified xsi:type="dcterms:W3CDTF">2025-12-02T05:02:44Z</dcterms:modified>
</cp:coreProperties>
</file>